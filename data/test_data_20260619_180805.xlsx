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tplc.sharepoint.com/sites/SE-AM-2-Workspace/Document/00_SE-AM OFI DATABASE/SE-AM OFI Database 2568/"/>
    </mc:Choice>
  </mc:AlternateContent>
  <xr:revisionPtr revIDLastSave="62" documentId="8_{6B84EA7F-E9C2-4E0D-B2BB-A8F12020FD50}" xr6:coauthVersionLast="47" xr6:coauthVersionMax="47" xr10:uidLastSave="{26F989A5-93A7-4C6C-A7EC-B47F579EF74E}"/>
  <bookViews>
    <workbookView xWindow="-110" yWindow="-110" windowWidth="19420" windowHeight="11500" tabRatio="816" firstSheet="2" activeTab="2" xr2:uid="{00000000-000D-0000-FFFF-FFFF00000000}"/>
  </bookViews>
  <sheets>
    <sheet name="Bar Graph back up" sheetId="4" state="hidden" r:id="rId1"/>
    <sheet name="ประมาณการคะแนน หัวข้อ RM&amp;IC" sheetId="87" r:id="rId2"/>
    <sheet name="RM&amp;IC_OFI Improvement Plan" sheetId="84" r:id="rId3"/>
    <sheet name="คำอธิบายเกณฑ์ Prioritize OFI" sheetId="86" r:id="rId4"/>
    <sheet name="รวม OFI  Health Check2564" sheetId="58" state="hidden" r:id="rId5"/>
  </sheets>
  <externalReferences>
    <externalReference r:id="rId6"/>
    <externalReference r:id="rId7"/>
  </externalReferences>
  <definedNames>
    <definedName name="_xlnm._FilterDatabase" localSheetId="2" hidden="1">'RM&amp;IC_OFI Improvement Plan'!$A$1:$H$72</definedName>
    <definedName name="_xlnm._FilterDatabase" localSheetId="3" hidden="1">'คำอธิบายเกณฑ์ Prioritize OFI'!$A$1:$R$9</definedName>
    <definedName name="_xlnm._FilterDatabase" localSheetId="4" hidden="1">'รวม OFI  Health Check2564'!$A$2:$N$2</definedName>
    <definedName name="Level1" localSheetId="0">[1]Data_1!$E$23:$E$25</definedName>
    <definedName name="Level1">[2]Data_1!$E$23:$E$25</definedName>
    <definedName name="Logic" localSheetId="0">[1]Data_1!$J$23:$K$25</definedName>
    <definedName name="Logic">[2]Data_1!$J$23:$K$25</definedName>
    <definedName name="_xlnm.Print_Area" localSheetId="2">'RM&amp;IC_OFI Improvement Plan'!$A$1:$H$77</definedName>
    <definedName name="VP1_" localSheetId="0">[1]Data_1!$N$61:$N$64</definedName>
    <definedName name="VP1_N" localSheetId="0">[1]Data_1!$N$23:$N$47</definedName>
    <definedName name="VP2_" localSheetId="0">[1]Data_1!$P$61:$P$65</definedName>
    <definedName name="VP2_N" localSheetId="0">[1]Data_1!$P$23:$P$51</definedName>
    <definedName name="VP3_" localSheetId="0">[1]Data_1!$R$61:$R$67</definedName>
    <definedName name="VP3_N" localSheetId="0">[1]Data_1!$R$23:$R$55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84" l="1"/>
  <c r="R29" i="84"/>
  <c r="Q29" i="84"/>
  <c r="F54" i="84" l="1"/>
  <c r="F44" i="84"/>
  <c r="F25" i="84"/>
  <c r="F2" i="84"/>
  <c r="F16" i="84"/>
  <c r="F4" i="84" l="1"/>
  <c r="E29" i="87" l="1"/>
  <c r="E24" i="87"/>
  <c r="O24" i="87" s="1"/>
  <c r="E20" i="87"/>
  <c r="K20" i="87" s="1"/>
  <c r="E13" i="87"/>
  <c r="O13" i="87" s="1"/>
  <c r="E8" i="87"/>
  <c r="L8" i="87" s="1"/>
  <c r="K13" i="87" l="1"/>
  <c r="J24" i="87"/>
  <c r="L13" i="87"/>
  <c r="K24" i="87"/>
  <c r="L20" i="87"/>
  <c r="P24" i="87"/>
  <c r="K29" i="87"/>
  <c r="M29" i="87"/>
  <c r="K8" i="87"/>
  <c r="K30" i="87" s="1"/>
  <c r="N30" i="87"/>
  <c r="M8" i="87"/>
  <c r="H8" i="87"/>
  <c r="P13" i="87"/>
  <c r="L24" i="87"/>
  <c r="H13" i="87"/>
  <c r="F17" i="84" s="1"/>
  <c r="L29" i="87"/>
  <c r="I13" i="87"/>
  <c r="H24" i="87"/>
  <c r="F45" i="84" s="1"/>
  <c r="J13" i="87"/>
  <c r="I24" i="87"/>
  <c r="M20" i="87"/>
  <c r="F8" i="87"/>
  <c r="F20" i="87"/>
  <c r="F29" i="87"/>
  <c r="G8" i="87"/>
  <c r="O8" i="87"/>
  <c r="G20" i="87"/>
  <c r="O20" i="87"/>
  <c r="G29" i="87"/>
  <c r="O29" i="87"/>
  <c r="P8" i="87"/>
  <c r="H20" i="87"/>
  <c r="F26" i="84" s="1"/>
  <c r="P20" i="87"/>
  <c r="H29" i="87"/>
  <c r="F55" i="84" s="1"/>
  <c r="P29" i="87"/>
  <c r="I8" i="87"/>
  <c r="M13" i="87"/>
  <c r="I20" i="87"/>
  <c r="M24" i="87"/>
  <c r="I29" i="87"/>
  <c r="E30" i="87"/>
  <c r="J8" i="87"/>
  <c r="F13" i="87"/>
  <c r="J20" i="87"/>
  <c r="F24" i="87"/>
  <c r="J29" i="87"/>
  <c r="G13" i="87"/>
  <c r="G24" i="87"/>
  <c r="L30" i="87" l="1"/>
  <c r="L31" i="87" s="1"/>
  <c r="H30" i="87"/>
  <c r="I30" i="87"/>
  <c r="I31" i="87" s="1"/>
  <c r="J30" i="87"/>
  <c r="F30" i="87"/>
  <c r="O30" i="87"/>
  <c r="G30" i="87"/>
  <c r="P30" i="87"/>
  <c r="M30" i="87"/>
  <c r="J31" i="87" l="1"/>
  <c r="O31" i="87"/>
  <c r="P31" i="87"/>
  <c r="K31" i="87"/>
  <c r="L34" i="87"/>
  <c r="M31" i="87"/>
  <c r="N31" i="87"/>
  <c r="H9" i="86" l="1" a="1"/>
  <c r="H9" i="86" s="1"/>
  <c r="H6" i="86" a="1"/>
  <c r="H6" i="86"/>
  <c r="H7" i="86" a="1"/>
  <c r="H7" i="86" s="1"/>
  <c r="H8" i="86" a="1"/>
  <c r="H8" i="86"/>
  <c r="Q8" i="86" s="1"/>
  <c r="H5" i="86" a="1"/>
  <c r="H5" i="86" s="1"/>
  <c r="F5" i="86" a="1"/>
  <c r="F5" i="86" s="1"/>
  <c r="L5" i="86" a="1"/>
  <c r="L5" i="86" s="1"/>
  <c r="F9" i="86" a="1"/>
  <c r="F9" i="86" s="1"/>
  <c r="F8" i="86" a="1"/>
  <c r="F8" i="86" s="1"/>
  <c r="F7" i="86" a="1"/>
  <c r="F7" i="86" s="1"/>
  <c r="Q7" i="86" s="1"/>
  <c r="F6" i="86" a="1"/>
  <c r="F6" i="86" s="1"/>
  <c r="J9" i="86" a="1"/>
  <c r="J9" i="86" s="1"/>
  <c r="J8" i="86" a="1"/>
  <c r="J8" i="86" s="1"/>
  <c r="J7" i="86" a="1"/>
  <c r="J7" i="86" s="1"/>
  <c r="J6" i="86" a="1"/>
  <c r="J6" i="86" s="1"/>
  <c r="L9" i="86" a="1"/>
  <c r="L9" i="86" s="1"/>
  <c r="L8" i="86" a="1"/>
  <c r="L8" i="86" s="1"/>
  <c r="L7" i="86" a="1"/>
  <c r="L7" i="86" s="1"/>
  <c r="L6" i="86" a="1"/>
  <c r="L6" i="86" s="1"/>
  <c r="N9" i="86" a="1"/>
  <c r="N9" i="86" s="1"/>
  <c r="N8" i="86" a="1"/>
  <c r="N8" i="86" s="1"/>
  <c r="N7" i="86" a="1"/>
  <c r="N7" i="86" s="1"/>
  <c r="N6" i="86" a="1"/>
  <c r="N6" i="86" s="1"/>
  <c r="P9" i="86" a="1"/>
  <c r="P9" i="86" s="1"/>
  <c r="P8" i="86" a="1"/>
  <c r="P8" i="86" s="1"/>
  <c r="P7" i="86" a="1"/>
  <c r="P7" i="86" s="1"/>
  <c r="P6" i="86" a="1"/>
  <c r="P6" i="86" s="1"/>
  <c r="P5" i="86" a="1"/>
  <c r="P5" i="86" s="1"/>
  <c r="N5" i="86" a="1"/>
  <c r="N5" i="86" s="1"/>
  <c r="J5" i="86" a="1"/>
  <c r="J5" i="86" s="1"/>
  <c r="Q9" i="86" l="1"/>
  <c r="Q6" i="86"/>
  <c r="Q5" i="86"/>
  <c r="B15" i="4" l="1"/>
  <c r="B16" i="4"/>
  <c r="B17" i="4"/>
  <c r="B18" i="4"/>
  <c r="B14" i="4"/>
  <c r="B9" i="4"/>
  <c r="B10" i="4"/>
  <c r="B11" i="4"/>
  <c r="B12" i="4"/>
  <c r="B8" i="4"/>
  <c r="B3" i="4"/>
  <c r="B4" i="4"/>
  <c r="B5" i="4"/>
  <c r="B6" i="4"/>
  <c r="B2" i="4"/>
  <c r="C18" i="4" l="1"/>
  <c r="C14" i="4"/>
  <c r="C11" i="4"/>
  <c r="C17" i="4"/>
  <c r="C12" i="4"/>
  <c r="C16" i="4"/>
  <c r="C15" i="4"/>
  <c r="C10" i="4" l="1"/>
  <c r="C9" i="4"/>
  <c r="C8" i="4"/>
  <c r="C6" i="4"/>
  <c r="C5" i="4"/>
  <c r="C4" i="4"/>
  <c r="C3" i="4"/>
  <c r="C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tc={E047DD73-F312-41FC-BEB1-FBB9E26C1431}</author>
    <author>Arisa Pongkan</author>
  </authors>
  <commentList>
    <comment ref="I1" authorId="0" shapeId="0" xr:uid="{E047DD73-F312-41FC-BEB1-FBB9E26C1431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เน้นใส่เฉพาะที่เกี่ยวกับการแก้ OFI นั้นๆ เท่านั้น (ไม่ต้องใส่ที่เกี่ยวกับการทำ report หรือ Implement ใดๆ)</t>
      </text>
    </comment>
    <comment ref="H24" authorId="1" shapeId="0" xr:uid="{86272A57-78F3-474E-9216-A35A733BF750}">
      <text>
        <r>
          <rPr>
            <sz val="11"/>
            <color theme="1"/>
            <rFont val="Tahoma"/>
            <family val="2"/>
            <charset val="222"/>
            <scheme val="minor"/>
          </rPr>
          <t>Arisa Pongkan:
OFI ของ 2.4 4.1</t>
        </r>
      </text>
    </comment>
    <comment ref="H32" authorId="1" shapeId="0" xr:uid="{06382A96-8585-4700-A670-B89E8535F8AA}">
      <text>
        <r>
          <rPr>
            <sz val="11"/>
            <color theme="1"/>
            <rFont val="Tahoma"/>
            <family val="2"/>
            <charset val="222"/>
            <scheme val="minor"/>
          </rPr>
          <t>Arisa Pongkan:
OFI ของ 3.3 3.4 3.5 5.1 5.2</t>
        </r>
      </text>
    </comment>
    <comment ref="H34" authorId="1" shapeId="0" xr:uid="{37137CED-8F94-4834-BE9E-6D505E67CB97}">
      <text>
        <r>
          <rPr>
            <sz val="11"/>
            <color theme="1"/>
            <rFont val="Tahoma"/>
            <family val="2"/>
            <charset val="222"/>
            <scheme val="minor"/>
          </rPr>
          <t>Arisa Pongkan:
OFI ของ 3.3 3.4 3.5 5.1 5.2</t>
        </r>
      </text>
    </comment>
    <comment ref="H38" authorId="1" shapeId="0" xr:uid="{94F5D103-2BD0-4FDC-923A-1E338E0D4C34}">
      <text>
        <r>
          <rPr>
            <sz val="11"/>
            <color theme="1"/>
            <rFont val="Tahoma"/>
            <family val="2"/>
            <charset val="222"/>
            <scheme val="minor"/>
          </rPr>
          <t>Arisa Pongkan:
OFI ของ 3.3 3.4 3.5 5.1 5.2</t>
        </r>
      </text>
    </comment>
    <comment ref="H48" authorId="1" shapeId="0" xr:uid="{76D8AA32-1691-4FB5-9AD5-E786EA95098A}">
      <text>
        <r>
          <rPr>
            <sz val="11"/>
            <color theme="1"/>
            <rFont val="Tahoma"/>
            <family val="2"/>
            <charset val="222"/>
            <scheme val="minor"/>
          </rPr>
          <t>Arisa Pongkan:
OFI ของ 2.4 4.1</t>
        </r>
      </text>
    </comment>
    <comment ref="H58" authorId="1" shapeId="0" xr:uid="{19DECD66-D65C-4767-AB90-62F9BDF6B9A4}">
      <text>
        <r>
          <rPr>
            <sz val="11"/>
            <color theme="1"/>
            <rFont val="Tahoma"/>
            <family val="2"/>
            <charset val="222"/>
            <scheme val="minor"/>
          </rPr>
          <t>Arisa Pongkan:
OFI ของ 3.3 3.4 3.5 5.1 5.2</t>
        </r>
      </text>
    </comment>
    <comment ref="H62" authorId="1" shapeId="0" xr:uid="{6D2A615E-A293-4B3B-90B4-B2FC801C8C01}">
      <text>
        <r>
          <rPr>
            <sz val="11"/>
            <color theme="1"/>
            <rFont val="Tahoma"/>
            <family val="2"/>
            <charset val="222"/>
            <scheme val="minor"/>
          </rPr>
          <t>Arisa Pongkan:
OFI ของ 3.3 3.4 3.5 5.1 5.2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<sst xmlns="http://schemas.openxmlformats.org/spreadsheetml/2006/main" count="689" uniqueCount="334">
  <si>
    <t>Plan No.</t>
  </si>
  <si>
    <t>Team Action Plan</t>
  </si>
  <si>
    <t>Progress</t>
  </si>
  <si>
    <t>Max</t>
  </si>
  <si>
    <t xml:space="preserve">ประมาณการคะแนน Enabler : Risk Management &amp; Internal Control </t>
  </si>
  <si>
    <t>No.</t>
  </si>
  <si>
    <t>Enabler</t>
  </si>
  <si>
    <t>หัวข้อ</t>
  </si>
  <si>
    <t>ประเด็นย่อย</t>
  </si>
  <si>
    <t>ร้อยละ</t>
  </si>
  <si>
    <t>ประมาณจากคะแนนที่นำส่งข้อมูลในระบบ สคร.ปี 66</t>
  </si>
  <si>
    <t>2567 (ประมาณการจาก OFI รอบที่ 1</t>
  </si>
  <si>
    <r>
      <t xml:space="preserve">คะแนน สคร.  ปี 66*
</t>
    </r>
    <r>
      <rPr>
        <b/>
        <sz val="14"/>
        <color rgb="FF0000FF"/>
        <rFont val="Tahoma"/>
        <family val="2"/>
        <scheme val="major"/>
      </rPr>
      <t>(คะแนนรายหัวข้อย่อย เป็นการประมาณการ)</t>
    </r>
  </si>
  <si>
    <t>คะแนน สคร.  ปี 2567</t>
  </si>
  <si>
    <t>คะแนน สคร.
ปี 2568</t>
  </si>
  <si>
    <t>RM&amp;IC</t>
  </si>
  <si>
    <t>1. ธรรมาภิบาลและวัฒนธรรมองค์กร
(น้ำหนักร้อยละ 15)</t>
  </si>
  <si>
    <t>1.1 บทบาทคณะกรรมการในการกำกับติดตามการบริหารความเสี่ยงและการพัฒนาระบบการควบคุมภายใน</t>
  </si>
  <si>
    <t>1.2 โครงสร้างและบทบาทหน้าที่</t>
  </si>
  <si>
    <t>1.3 บรรยากาศและวัฒนธรรมสนับสนุนการบริหารความเสี่ยง</t>
  </si>
  <si>
    <t>1.4 ความมุ่งมั่นต่อค่านิยมองค์กร</t>
  </si>
  <si>
    <t>1.5 แรงจูงใจ การพัฒนาและการรักษาบุคลากร</t>
  </si>
  <si>
    <t>รวม</t>
  </si>
  <si>
    <t>2. การกำหนดยุทธศาสตร์ และวัตถุประสงค์/เป้าประสงค์เชิงยุทธศาสตร์
(น้ำหนักร้อยละ 15)</t>
  </si>
  <si>
    <t xml:space="preserve">2.1 การวิเคราะห์ธุรกิจ </t>
  </si>
  <si>
    <t xml:space="preserve">2.2 การระบุเป้าหมายการบริหารความเสี่ยง </t>
  </si>
  <si>
    <t xml:space="preserve">2.3 การประเมินทางเลือกและกำหนดยุทธศาสตร์ </t>
  </si>
  <si>
    <t xml:space="preserve">2.4 การกำหนดวัตถุประสงค์ในการดำเนินธุรกิจเพื่อสร้างมูลค่าเพิ่มให้กับองค์กร </t>
  </si>
  <si>
    <t>3. กระบวนการบริหารความเสี่ยง
(น้ำหนักร้อยละ 35)</t>
  </si>
  <si>
    <t>3.1 การระบุปัจจัยเสี่ยง</t>
  </si>
  <si>
    <t>3.2 การกำหนดกิจกรรมการควบคุมที่ตอบสนองต่อความเสี่ยงองค์กร</t>
  </si>
  <si>
    <t>3.3 การประเมินระดับความรุนแรงของปัจจัยเสี่ยง</t>
  </si>
  <si>
    <t>3.4 การจัดลำดับความเสี่ยง</t>
  </si>
  <si>
    <t>3.5 การกำหนด/คัดเลือกวิธีการจัดการต่อความเสี่ยงที่ระบุไว้</t>
  </si>
  <si>
    <t>3.6 การบริหารความเสี่ยงแบบบูรณาการ Risk Correlation Map และการจัดทำ Portfolio View of Risk</t>
  </si>
  <si>
    <t>4. การทบทวนการบริหารความเสี่ยง
(น้ำหนักร้อยละ 15)</t>
  </si>
  <si>
    <t>4.1 การทบทวนและปรับปรุงผลการบริหารความเสี่ยง</t>
  </si>
  <si>
    <t>4.2 การกำหนดแนวทางในการปรับปรุงกระบวนการบริหารความเสี่ยง</t>
  </si>
  <si>
    <t>4.3 การประเมินการเปลี่ยนแปลงที่มีนัยสำคัญ</t>
  </si>
  <si>
    <t>5. ข้อมูลสารสนเทศการสื่อสาร และการรายงานผล
(น้ำหนักร้อยละ 20)</t>
  </si>
  <si>
    <t>5.1 การสื่อสารการบริหารความเสี่ยงองค์กร</t>
  </si>
  <si>
    <t>5.2 การติดตาม ประเมินผลและรายงานผลการบริหารความเสี่ยง การควบคุมภายใน วัฒนธรรมและผลการดำเนินงาน</t>
  </si>
  <si>
    <t>5.3 ข้อมูลและเทคโนโลยีในการสนับสนุนการบริหารความเสี่ยง</t>
  </si>
  <si>
    <t>5.4  กระบวนการบริหารความต่อเนื่องทางธุรกิจ</t>
  </si>
  <si>
    <t>ประมาณการคะแนน</t>
  </si>
  <si>
    <t>% Diff จากปีที่ผ่านมา</t>
  </si>
  <si>
    <t>เป้าหมายของคะแนน</t>
  </si>
  <si>
    <t>เป้าหมายแต่ละปีขึ้นอยากับการตกลงร่วมกันกับ Process Owner</t>
  </si>
  <si>
    <t>Topic</t>
  </si>
  <si>
    <t>Wt.</t>
  </si>
  <si>
    <t>Sub-Topic</t>
  </si>
  <si>
    <t>OFI Year
(ปีที่พบ OFI)</t>
  </si>
  <si>
    <t>คะแนนจาก สคร.</t>
  </si>
  <si>
    <t>แหล่งที่มาของ Improvement Plan</t>
  </si>
  <si>
    <t>OFI</t>
  </si>
  <si>
    <t>Element Owner
ชื่อและรูป ผู้บริหาร</t>
  </si>
  <si>
    <t>หน่วยงานหลักที่รับผิดชอบ
(ฝ่าย)</t>
  </si>
  <si>
    <t>หน่วยงานรองที่รับผิดชอบ
(ฝ่าย)</t>
  </si>
  <si>
    <t>OFI level</t>
  </si>
  <si>
    <t xml:space="preserve">Type of OFI </t>
  </si>
  <si>
    <t>Issue of OFI</t>
  </si>
  <si>
    <t>Using L5 Template</t>
  </si>
  <si>
    <t xml:space="preserve">แผนการปรับปรุง OFI
</t>
  </si>
  <si>
    <t>ร่วมทำแผนปรับปรุง OFI กับ Process Owner
(พ.ค. - มิ.ย.)</t>
  </si>
  <si>
    <t>รายงาน EO และ EC พร้อม SE-AM Score
(มิ.ย. - ก.ค.)</t>
  </si>
  <si>
    <t>รายงานพร้อมผล SE-AM Assessment
(ต.ค. - พ.ย.)</t>
  </si>
  <si>
    <t>ก่อนนำเอกสารเข้าระบบ
(ธ.ค.)</t>
  </si>
  <si>
    <t>รายงานเตรียม Site Visit
(ม.ค.)</t>
  </si>
  <si>
    <t>1. ธรรมาภิบาลและวัฒนธรรมองค์กร</t>
  </si>
  <si>
    <t>สคร.</t>
  </si>
  <si>
    <t xml:space="preserve">ยังไม่ชัดเจนว่าจากข้อมูลนําเข้าต่างๆ ส่งผลต่อการทบทวนนโยบาย GRC อย่างไร ควรแสดงให้เห็นแนวทางการนําข้อมูลนําเข้าและผลวิเคราะห์ที่นํามาใช้ในการทบทวนนโยบาย GRC ให้ชัดเจนขึ้น </t>
  </si>
  <si>
    <t>นายฐานันท์ จิตต์บุญ</t>
  </si>
  <si>
    <t>กธญ.</t>
  </si>
  <si>
    <t>L4</t>
  </si>
  <si>
    <t>Process</t>
  </si>
  <si>
    <t>#GRCPolicy</t>
  </si>
  <si>
    <t>Yes / No</t>
  </si>
  <si>
    <t>Link ไปหาไฟล์ PPTX, PDF</t>
  </si>
  <si>
    <t>Done</t>
  </si>
  <si>
    <t>In Progress</t>
  </si>
  <si>
    <t>ควรพัฒนาระบบ GRC ให้เชื่อมโยงกับระบบอื่นๆ เพิ่มเติม เพื่อเพิ่มประสิทธิภาพให้ดียิ่งขึ้น</t>
  </si>
  <si>
    <t>นายฐานันท์ จิตต์บุญ
น.ส.เมธ์ลดา ชยวัฒนางกูร</t>
  </si>
  <si>
    <t xml:space="preserve">กธญ. </t>
  </si>
  <si>
    <t>งสญ. ภสญ.</t>
  </si>
  <si>
    <t>หมายเหตุ</t>
  </si>
  <si>
    <t>#GRCIntegration</t>
  </si>
  <si>
    <t>SE-AM Assessment</t>
  </si>
  <si>
    <r>
      <t xml:space="preserve">จากการตรวจประเมิน </t>
    </r>
    <r>
      <rPr>
        <u/>
        <sz val="14"/>
        <color rgb="FF0000FF"/>
        <rFont val="Tahoma"/>
        <family val="2"/>
      </rPr>
      <t>ไม่พบการนำประเด็นความเชื่อมโยงนโยบาย GRC กับนโยบายอื่นๆ มาเป็นปัจจัยในการทบทวน รวมทั้งผลลัพธ์จากการทบทวนเพื่อมั่นใจได้ว่านโยบาย GRC สอดคล้องกับนโยบายอื่นๆ</t>
    </r>
    <r>
      <rPr>
        <sz val="14"/>
        <color rgb="FF0000FF"/>
        <rFont val="Tahoma"/>
        <family val="2"/>
      </rPr>
      <t xml:space="preserve">ที่เกี่ยวข้อง (เช่น Digital, Customer, Stakeholder, Innovation Policy etc.)  </t>
    </r>
    <r>
      <rPr>
        <b/>
        <sz val="14"/>
        <color rgb="FFFF0000"/>
        <rFont val="Tahoma"/>
        <family val="2"/>
      </rPr>
      <t>กธญ.</t>
    </r>
  </si>
  <si>
    <t>ชื่อและรูป ผู้บริหาร</t>
  </si>
  <si>
    <t>บสญ.</t>
  </si>
  <si>
    <t>L3</t>
  </si>
  <si>
    <t>Result</t>
  </si>
  <si>
    <t>#3YearsResult</t>
  </si>
  <si>
    <t>Yes</t>
  </si>
  <si>
    <t>Qualified</t>
  </si>
  <si>
    <r>
      <t>จากการตรวจประเมินพบว่ามีการพิจารณาปัจจัยนำเข้าที่เกี่ยวข้องในการปรับปรุง เช่น การนำประเด็นวิสัยทัศน์ของ ปตท. ที่มีการเปลี่ยนแปลงเข้ามาพิจารณา ทั้งนี้</t>
    </r>
    <r>
      <rPr>
        <u/>
        <sz val="14"/>
        <color rgb="FF0000FF"/>
        <rFont val="Tahoma"/>
        <family val="2"/>
      </rPr>
      <t>ยังไม่พบผลลัพธ์หรือการประเมินประสิทธิผลของการปรับปรุงนโยบาย GRC เพื่อสะท้อนผลการดำเนินงานที่ดีขึ้น</t>
    </r>
    <r>
      <rPr>
        <b/>
        <sz val="14"/>
        <color rgb="FF0000FF"/>
        <rFont val="Tahoma"/>
        <family val="2"/>
      </rPr>
      <t xml:space="preserve"> </t>
    </r>
    <r>
      <rPr>
        <b/>
        <sz val="14"/>
        <color rgb="FFFF0000"/>
        <rFont val="Tahoma"/>
        <family val="2"/>
      </rPr>
      <t>กธญ.</t>
    </r>
  </si>
  <si>
    <t>#StrategicPositioning</t>
  </si>
  <si>
    <t>No</t>
  </si>
  <si>
    <t>การประเมินประสิทธิผลการกําหนดโครงสร้าง&amp;บทบาทหน้าที่ ยังไม่สะท้อนถึงการประเมินผลในเชิงกระบวนการ ยังเป็นการวัดผลลัพธ์ (Output) ของการดําเนินงานตามโครงสร้างที่ได้วางไว้</t>
  </si>
  <si>
    <t>พอญ. ลขญ .กธญ. งสญ. ภสญ. กมญ.</t>
  </si>
  <si>
    <t>L5</t>
  </si>
  <si>
    <t>#GRCOrganization
#OutputPI</t>
  </si>
  <si>
    <r>
      <t>จากการตรวจประเมินพบว่ามีกระบวนการตรวจสอบถึงความเข้าใจของผู้บริหารและพนักงานในการสำรวจความเข้าใจผ่าน GRC Survey รวมทั้งมีการบูรณาการคำถามใน GRC Survey ที่สอดคล้องกับคู่มือการบริหารความเสี่ยงและการควบคุมภายใน และมีการวิเคราะห์ผลลัพธ์จากการสำรวจฯดังกล่าว ทั้งนี้</t>
    </r>
    <r>
      <rPr>
        <u/>
        <sz val="14"/>
        <color rgb="FF0000FF"/>
        <rFont val="Tahoma"/>
        <family val="2"/>
      </rPr>
      <t>เพื่อความครบถ้วนตามเกณฑ์ยังไม่พบผลลัพธ์บรรลุเป้าหมายตามแผนได้ครบถ้วน</t>
    </r>
    <r>
      <rPr>
        <sz val="14"/>
        <color rgb="FF0000FF"/>
        <rFont val="Tahoma"/>
        <family val="2"/>
      </rPr>
      <t xml:space="preserve"> (GRC ได้กำหนดเป้าหมาย ปี 2567 ไว้ที่ 95% ซึ่งผลการประเมิน GRC Survey 2024 ในภาพรวม = 92.09%) </t>
    </r>
    <r>
      <rPr>
        <b/>
        <sz val="14"/>
        <color rgb="FFFF0000"/>
        <rFont val="Tahoma"/>
        <family val="2"/>
      </rPr>
      <t xml:space="preserve">กธญ.
</t>
    </r>
    <r>
      <rPr>
        <sz val="14"/>
        <color rgb="FF0000FF"/>
        <rFont val="Tahoma"/>
        <family val="2"/>
      </rPr>
      <t xml:space="preserve">
</t>
    </r>
  </si>
  <si>
    <r>
      <t>จากการตรวจประเมินพบว่ามีการปรับปรุงกระบวนการกำหนดโครงสร้างบทบาทหน้าที่ เช่น การปรับปรุงโครงการ Risk Owner ดีเด่น (2566 และ 2567) เพื่อเป็นการส่งเสริมความสำคัญ และสร้าง engagement ยกย่องชมเชยพนักงานที่ได้ให้ความร่วมมือด้านการบริหารความเสี่ยงและควบคุมภายในและทำให้การประเมินฯเป็นไปอย่างมีประสิทธิภาพ ทั้งนี้</t>
    </r>
    <r>
      <rPr>
        <u/>
        <sz val="14"/>
        <color rgb="FF0000FF"/>
        <rFont val="Tahoma"/>
        <family val="2"/>
      </rPr>
      <t>ยังไม่พบหลักฐานชัดเจนที่แสดงถึงผลลัพธ์เกี่ยวกับจำนวน Risk Owner ณ ปีปัจจุบันเพื่อสะท้อนให้เห็นถึงผลจากการปรับปรุงนำไปสู่แรงจูงใจที่เพิ่มขึ้น ส่งให้ผลให้มี Risk Owner ดีเด่นเพิ่มขึ้นหรือลดลงอย่างไร รวมทั้งผลลัพธ์จากการปรับปรุงดังกล่าวสะท้อนให้เห็นถึงผลการบริหารความเสี่ยงบรรลุตามเป้าหมาย</t>
    </r>
    <r>
      <rPr>
        <b/>
        <sz val="14"/>
        <color rgb="FF0000FF"/>
        <rFont val="Tahoma"/>
        <family val="2"/>
      </rPr>
      <t xml:space="preserve"> </t>
    </r>
    <r>
      <rPr>
        <b/>
        <sz val="14"/>
        <color rgb="FFFF0000"/>
        <rFont val="Tahoma"/>
        <family val="2"/>
      </rPr>
      <t>ภสญ.</t>
    </r>
  </si>
  <si>
    <t xml:space="preserve">ควรทบทวนเกณฑ์การประเมินประสิทธิผลของการกำหนดโครงสร้างและบทบาทหน้าที่ให้สะท้อนถึงการประเมินผลในเชิงกระบวนการ 
</t>
  </si>
  <si>
    <t>คะแนนประเมินด้าน CG &amp; Compliance ในกลุ่มผู้บริหาร &amp; พนักงานมีผลที่ลดลงกว่าปีก่อนหน้า จึงควรพัฒนา ปรับปรุงการสร้างความรู้ ความเข้าใจให้ดียิ่งขึ้นในปีถัดไป</t>
  </si>
  <si>
    <t xml:space="preserve">นายฐานันท์ จิตต์บุญ
</t>
  </si>
  <si>
    <t>กธญ. กมญ.</t>
  </si>
  <si>
    <t>#GRCSurvey</t>
  </si>
  <si>
    <t>คาดการณ์จากคำถาม 
Bridge Consulting</t>
  </si>
  <si>
    <r>
      <t xml:space="preserve">การสร้างบรรยากาศและวัฒนธรรมสนับสนุนการบริหารความเสี่ยง ที่ระบุอยู่ในแผน HR และ IT </t>
    </r>
    <r>
      <rPr>
        <b/>
        <sz val="14"/>
        <color rgb="FFFF0000"/>
        <rFont val="Tahoma"/>
        <family val="2"/>
      </rPr>
      <t>กทญ.</t>
    </r>
  </si>
  <si>
    <t xml:space="preserve">คะแนนประเมินด้าน CG &amp; Compliance ในกลุ่มผู้บริหาร &amp; พนักงานมีผลที่ลดลงกว่าปีก่อนหน้า จึงควรพัฒนา ปรับปรุงการสร้างความรู้ ความเข้าใจให้ดียิ่งขึ้นในปีถัดไป </t>
  </si>
  <si>
    <r>
      <rPr>
        <sz val="14"/>
        <color rgb="FF0000FF"/>
        <rFont val="Tahoma"/>
        <family val="2"/>
      </rPr>
      <t xml:space="preserve">การสร้างบรรยากาศและวัฒนธรรมสนับสนุนการบริหารความเสี่ยง ที่ระบุอยู่ในแผน HR และ IT </t>
    </r>
    <r>
      <rPr>
        <b/>
        <sz val="14"/>
        <color rgb="FFFF0000"/>
        <rFont val="Tahoma"/>
        <family val="2"/>
      </rPr>
      <t>กทญ.</t>
    </r>
  </si>
  <si>
    <t>ควรพิจารณาทบทวนเกณฑ์การประเมินให้สะท้อนการวัดประสิทธิผลของกระบวนการเชื่อมโยงระหว่างการบริหารความเสี่ยง &amp; ผลตอบแทน/แรงจูงใจ</t>
  </si>
  <si>
    <t>น.ส.เมธ์ลดา ชยวัฒนางกูร</t>
  </si>
  <si>
    <t>งสญ. กธญ. ภสญ.</t>
  </si>
  <si>
    <t>นทญ.</t>
  </si>
  <si>
    <t>#OutputPI
#OutcomePI
#GRCIncentive</t>
  </si>
  <si>
    <t xml:space="preserve">ควรพิจารณาทบทวนแนวทางในการเชื่อมโยงผลการประเมินการบริหารความเสี่ยงกับผลตอบแทนและแรงจูงใจให้มีความชัดเจน และเป็นรูปธรรมมากยิ่งขึ้น
</t>
  </si>
  <si>
    <t>2. การกำหนดยุทธศาสตร์ และวัตถุประสงค์/เป้าประสงค์เชิงยุทธศาสตร์</t>
  </si>
  <si>
    <r>
      <rPr>
        <sz val="14"/>
        <color rgb="FF0000FF"/>
        <rFont val="Tahoma"/>
        <family val="2"/>
      </rPr>
      <t xml:space="preserve">จากการตรวจประเมินยังไม่พบหลักฐานชัดเจนที่แสดงถึง </t>
    </r>
    <r>
      <rPr>
        <u/>
        <sz val="14"/>
        <color rgb="FF0000FF"/>
        <rFont val="Tahoma"/>
        <family val="2"/>
      </rPr>
      <t>ผลการประเมินประสิทธิผลของการกำหนดค่า RA RT หลังการทบทวนแผนบริหารความเสี่ยงองค์กรระหว่างปี</t>
    </r>
    <r>
      <rPr>
        <sz val="14"/>
        <color rgb="FF0000FF"/>
        <rFont val="Tahoma"/>
        <family val="2"/>
      </rPr>
      <t xml:space="preserve"> และนำข้อมูลไปใช้เพื่อปรับปรุงกระบวนการฯ เพื่อสะท้อนผลการดำเนินงานที่ดีขึ้น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</si>
  <si>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 xml:space="preserve"> ควรพิจารณาปรับปรุงแนวทาง การกําหนดค่าเป้าหมายในการบริหารความเสี่ยงให้สมเหตุสมผล หากเป็นปัจจัยเสี่ยงที่ต้องบริหารในระยะยาว ควรปรับค่าเป้าหมายการบริหารความเสี่ยงให้เหมาะสมกับการดําเนินงานในแต่ละช่วงเวลา เพื่อให้สามารถบริหารจัดการและสะท้อนผลการบริหารความเสี่ยงได้ชัดเจนยิ่งขึ้น </t>
  </si>
  <si>
    <t>งสญ.</t>
  </si>
  <si>
    <t>#KRI</t>
  </si>
  <si>
    <r>
      <t xml:space="preserve">จากการตรวจประเมินพบว่ามีกระบวนการในการทำ Value Creation และ Value Enhancement เพื่อให้เชื่อมโยงกับวัตถุประสงค์เชิงยุทธศาสตร์ (New Business) มีการคาดการณ์ผลลัพธ์การลดระดับความเสี่ยง(Estimate) ถึงระดับความรุนแรงของปัจจัยเสี่ยงที่ลดลง ทั้งนี้เพื่อความครบถ้วนและการมุ่งเน้นผลลัพธ์ </t>
    </r>
    <r>
      <rPr>
        <u/>
        <sz val="14"/>
        <color rgb="FF0000FF"/>
        <rFont val="Tahoma"/>
        <family val="2"/>
      </rPr>
      <t>ควรแสดงให้เห็นการลดระดับความรุนแรงของปัจจัยเสี่ยงที่เกิดขึ้นจริง และได้ตามเป้าหมายทุกๆความเสี่ยง</t>
    </r>
    <r>
      <rPr>
        <sz val="14"/>
        <color rgb="FF0000FF"/>
        <rFont val="Tahoma"/>
        <family val="2"/>
      </rPr>
      <t xml:space="preserve"> ส่งผลในการสร้างความมั่นใจถึงการสร้างมูลค่าเพิ่มให้กับองค์กรได้ตามเป้าหมายที่กำหนด </t>
    </r>
    <r>
      <rPr>
        <b/>
        <sz val="14"/>
        <color rgb="FFFF0000"/>
        <rFont val="Tahoma"/>
        <family val="2"/>
      </rPr>
      <t>งสญ.</t>
    </r>
  </si>
  <si>
    <r>
      <t>ตามที่มีการปรับแผนบริหารความเสี่ยง (New Business) ควรแสดงให้เห็นถึงการวิเคราะห์และทบทวนแผนแม่บทที่เกี่ยวข้อง เช่น แผนงาน KM เป็นต้น</t>
    </r>
    <r>
      <rPr>
        <b/>
        <sz val="14"/>
        <color rgb="FFFF0000"/>
        <rFont val="Tahoma"/>
        <family val="2"/>
      </rPr>
      <t xml:space="preserve"> งสญ.</t>
    </r>
  </si>
  <si>
    <r>
      <t xml:space="preserve">จากการตรวจประเมินยังไม่พบหลักฐานชัดเจนที่แสดงถึงการประเมินประสิทธิผลของการทำ Value Creation และ Value Enhancement ในการนำมาบริหารและสร้างมูลค่าเพิ่มให้กับองค์กร และนำข้อมูลไปใช้เพื่อปรับปรุงกระบวนการฯ เพื่อสะท้อนผลการดำเนินงานที่ดีขึ้น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</si>
  <si>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 xml:space="preserve">ปตท. มีระดับความรุนแรงของความเสี่ยงที่ไม่สามารถบริหารได้ตามเป้าหมาย ได้แก่ Project Execution 5th NG Pipeline Phase 2 และ GSP#7 แต่ทั้ง 2 ปัจจัยเสี่ยงไม่ส่งผลกระทบต่อ ปตท.
</t>
  </si>
  <si>
    <t>3. กระบวนการบริหารความเสี่ยง</t>
  </si>
  <si>
    <r>
      <rPr>
        <sz val="14"/>
        <color rgb="FF0000FF"/>
        <rFont val="Tahoma"/>
        <family val="2"/>
      </rPr>
      <t xml:space="preserve">จากการตรวจประเมิน ยังไม่พบหลักฐานชัดเจนที่แสดงถึงผลลัพธ์จากการประเมินประสิทธิผลของการปรับปรุงกระบวนการระบุปัจจัยเสี่ยง เพื่อสะท้อนให้เห็นถึงผลการดำเนินงานที่ดีขึ้น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</si>
  <si>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>ควรพิจารณาทบทวนเกณฑ์การประเมินประสิทธิผลให้สะท้อนถึงคุณภาพของการระบุความเสี่ยงระดับองค์กรให้ชัดเจนยิ่งขึ้น</t>
  </si>
  <si>
    <r>
      <rPr>
        <sz val="14"/>
        <color rgb="FF0000FF"/>
        <rFont val="Tahoma"/>
        <family val="2"/>
      </rPr>
      <t xml:space="preserve">จากการตรวจประเมินพบว่าทุกสายงานมีการประเมินกิจกรรมการควบคุมประกอบการวิเคราะห์ปัจจัยเสี่ยงระดับสายงาน ผ่านกระบวนการประเมินโดยระบบ Risk and Control Platform (ระบบ RCP) ทั้งนี้เพื่อความครบถ้วนสมบูรณ์ ควรแสดงหลักฐานถึงการวิเคราะห์สรุปผล คะแนนประเมินการควบคุมภายใน คะแนนประเมินฯ ตามองค์ประกอบการควบคุมภายใน รายงานสรุปผลการดำเนินงานกิจกรรมควบคุมที่เป็น Action Plan เพื่อให้มั่นใจได้ว่ามีการประเมินประสิทธิผลของทุกขั้นตอน และทุกขั้นตอนได้ประสิทธิผลตามที่กำหนด (ตามที่เกณฑ์ระดับ 3 ระบุ) </t>
    </r>
    <r>
      <rPr>
        <b/>
        <sz val="14"/>
        <color rgb="FFFF0000"/>
        <rFont val="Tahoma"/>
        <family val="2"/>
      </rPr>
      <t>ภสญ.</t>
    </r>
  </si>
  <si>
    <r>
      <t xml:space="preserve">จากการตรวจประเมิน มีการทบทวนกิจกรรมการควบคุมระหว่างปี เพื่อให้กิจกรรมการควบคุมเป็นส่วนหนึ่งของแผนงานจัดการความเสี่ยง ทั้งนี้ยังไม่พบหลักฐานชัดเจนที่แสดงถึงผลลัพธ์จากการประเมินประสิทธิผลของการทบทวน/ปรับปรุงกิจกรรมควบคุมระหว่างปี เพื่อสะท้อนให้เห็นถึงผลการดำเนินงานที่ดีขึ้น สนับสนุนให้ความเสี่ยงบรรลุตามเป้าหมายที่กำหนด </t>
    </r>
    <r>
      <rPr>
        <b/>
        <sz val="14"/>
        <color rgb="FFFF0000"/>
        <rFont val="Tahoma"/>
        <family val="2"/>
      </rPr>
      <t>งสญ.</t>
    </r>
  </si>
  <si>
    <t>Average</t>
  </si>
  <si>
    <t xml:space="preserve">จากผลบริหารความเสี่ยงปี 67 มี 2 ปัจจัยเสี่ยงที่ระดับความรุนแรงไม่เป็นไปตามเป้าหมาย 
- พิจารณาทบทวนกิจกรรมควบคุมระหว่างปีให้มีประสิทธิภาพมากขึ้น
</t>
  </si>
  <si>
    <r>
      <rPr>
        <sz val="14"/>
        <color rgb="FF0000FF"/>
        <rFont val="Tahoma"/>
        <family val="2"/>
      </rPr>
      <t xml:space="preserve">จากการตรวจประเมินยังไม่พบหลักฐานชัดเจนที่แสดงถึงผลลัพธ์จากการประเมินประสิทธิผลของการกำหนดเกณฑ์ประเมินระดับความรุนแรง ทั้งในเชิงโอกาส และผลกระทบและนำข้อมูลไปใช้เพื่อปรับปรุงกระบวนการฯเพื่อสะท้อนให้เห็นถึงผลการดำเนินงานที่ดีขึ้น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</si>
  <si>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 xml:space="preserve">ปตท. มีเกณฑ์การประเมินประสิทธิผลของกระบวนการต่างๆ ที่ปัจจุบันยังไม่สะท้อนถึงการวัดผลในเชิงกระบวนการ แต่เป็นการวัดผลลัพธ์ (Output) ทำให้ยังไม่สามาถนำข้อมูลผลการประเมินไปใช้ปรับปรุงกระบวนการได้อย่างชัดเจน
</t>
  </si>
  <si>
    <r>
      <rPr>
        <sz val="14"/>
        <color rgb="FF0000FF"/>
        <rFont val="Tahoma"/>
        <family val="2"/>
      </rPr>
      <t xml:space="preserve">จากการตรวจประเมินยังไม่พบหลักฐานชัดเจนที่แสดงถึงผลลัพธ์การประเมินประสิทธิผลของการการกำหนดขอบเขตระดับความเสี่ยงที่องค์กรสามารถรับได้ (Risk Boundary) และการจัดลำดับความเสี่ยง ของแต่ละปัจจัยเสี่ยง และการจัดทำแผนภาพความเสี่ยง (Risk Profile) (ทุกขั้นตอนได้ประสิทธิผลตามที่กำหนด: ความครบถ้วนของปัจจัย, กระบวนการ, ผลผลิต, ระยะเวลาที่แล้วเสร็จ) และนำข้อมูลไปใช้เพื่อปรับปรุงกระบวนการฯ เพื่อสะท้อนให้เห็นถึงผลการดำเนินงานที่ดีขึ้น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</si>
  <si>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 xml:space="preserve">ควรประเมินประสิทธิผลกระบวนการด้วยตัวชี้วัดที่เหมาะสม และนําผลการประเมินไปใช้ในการเปรียบเทียบกับผลการดําเนินงานในปีถัดไป เพื่อให้ทราบถึงความเปลี่ยนแปลง และใช้ข้อมูลในการปรับปรุง และยกระดับการดําเนินงานอย่างต่อเนื่องต่อไป </t>
  </si>
  <si>
    <t xml:space="preserve">งสญ. </t>
  </si>
  <si>
    <t>ภสญ.</t>
  </si>
  <si>
    <t>#OutputPI
#OutcomePI</t>
  </si>
  <si>
    <r>
      <t xml:space="preserve">จากการตรวจประเมินพบว่ามีการบูรณาการ การบริหารความเสี่ยงองค์กรกับกิจกรรมการควบคุมและการออกแบบระบบงาน (Work System) และกระบวนการ (Work Process)  เช่น การติดตามแผนงาน Corporate Risk Profile Cyber Resilience ซึ่งได้กำหนดเป็นแผนปฏิบัติการประจำปีของฝ่าย กดม. และเชื่อมโยงกระบวนการ Work Process: Digital Management ทั้งนี้เพื่อให้ครบถ้วนสอดคล้องกับ Corporate Risk Profile ทั้งหมด    ควรแสดงให้เห็นถึงความเชื่อมโยงความเสี่ยงองค์กรอื่นๆกับการจัดการต่อความเสี่ยงที่เชื่อมโยงกับการออกแบบระบบงาน (Work System) และกระบวนการ (Work Process) </t>
    </r>
    <r>
      <rPr>
        <b/>
        <sz val="14"/>
        <color rgb="FFFF0000"/>
        <rFont val="Tahoma"/>
        <family val="2"/>
      </rPr>
      <t>งสญ. พอญ.</t>
    </r>
  </si>
  <si>
    <t>#OutcomePI</t>
  </si>
  <si>
    <r>
      <rPr>
        <sz val="14"/>
        <color rgb="FF0000FF"/>
        <rFont val="Tahoma"/>
        <family val="2"/>
      </rPr>
      <t xml:space="preserve">จากการตรวจประเมินยังไม่พบหลักฐานชัดเจนที่แสดงถึงผลลัพธ์การประเมินประสิทธิผลของการกำหนด/คัดเลือกวิธีการจัดการต่อความเสี่ยง (Mitigation) และนำข้อมูลไปใช้เพื่อปรับปรุงกระบวนการฯ เพื่อสะท้อนให้เห็นถึงผลการดำเนินงานที่ดีขึ้น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</si>
  <si>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>ปตท. มีเกณฑ์การประเมินประสิทธิผลของกระบวนการต่างๆ ที่ปัจจุบันยังไม่สะท้อนถึงการวัดผลในเชิงกระบวนการ แต่เป็นการวัดผลลัพธ์ (Output) ทำให้ยังไม่สามาถนำข้อมูลผลการประเมินไปใช้ปรับปรุงกระบวนการได้อย่างชัดเจน</t>
  </si>
  <si>
    <r>
      <t>ควรพิจารณาถึงความสัมพันธ์ สอดคล้องระหว่างค่า RA/RT ของค่าเป้าหมายกับแต่ละ Risk Factors ด้วย</t>
    </r>
    <r>
      <rPr>
        <sz val="14"/>
        <color rgb="FFC00000"/>
        <rFont val="Tahoma"/>
        <family val="2"/>
      </rPr>
      <t xml:space="preserve"> </t>
    </r>
  </si>
  <si>
    <t>#RA
#RT</t>
  </si>
  <si>
    <t xml:space="preserve">ยังไม่มีความชัดเจนในการแสดงให้เห็นถึงการวิเคราะห์ภาพรวมของความเสี่ยงที่ยอมรับได้ (RA) ของทุกปัจจัยเสี่ยง (Portfolio View of Risk) ว่ามีความสอดคล้อง เชื่่อมโยงกับเป้าประสงค์ และเป้าหมาย/ตัวชี้วัดที่สําคัญขององค์กร </t>
  </si>
  <si>
    <t>#RA
#PortfolioViewofRisk</t>
  </si>
  <si>
    <r>
      <t xml:space="preserve">จากการตรวจประเมินยังไม่พบหลักฐานชัดเจนที่แสดงให้เห็นถึง ผลลัพธ์การประเมินประสิทธิผลของการกำหนดการพิจารณาถึงความสัมพันธ์ของความเสี่ยงและผลกระทบที่มีระหว่างหน่วยงานต่าง ๆ ภายในองค์กร โดย Risk Correlation Map และการวิเคราะห์ถึงภาพรวมของความเสี่ยง (Portfolio View of Risk) ขององค์กร และนำข้อมูลไปใช้เพื่อปรับปรุงกระบวนการฯ เพื่อสะท้อนให้เห็นถึงผลการดำเนินงานที่ดีขึ้น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</si>
  <si>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>ความเชื่อมโยงและความสัมพันธ์ของค่า RA/RT ทั้งด้านการเงินและไม่ใช่การเงินใน Portfolio View of Risk ว่าหากปัจจัยเสี่ยงเปลี่ยนแปลงไปพร้อมๆกัน จะส่งผลกระทบต่อค่าเป้าหมายเกินกว่าค่า Risk Tolerance ที่ยอมรับได้ และมีระบบ/ขั้นตอนในการตัดสินใจดำเนินการ รวมถึงสื่อสารไปยังผู้ที่เกี่ยวข้อง</t>
  </si>
  <si>
    <t xml:space="preserve">ถึงแม้ว่า ปตท. จะมีการแสดงให้เห็นว่ามีการเชื่อมโยง Risk Correlation Map กับแผนงานที่เกี่ยวข้อง แต่ยังไม่ชัดเจนว่ามีความเชื่อมโยงกับแผนมาอย่างครบถ้วน และยังไม่ชัดเจนในการแสดงให้เห็นถึงการวิเคราะห์ภาพรวมของความเสี่ยง (Portfolio View of Risk) ว่ามีความเชื่อมโยงกับเป้าประสงค์ และเป้าหมาย/ตัวชี้วัดที่สำคัญขององค์กรอย่างไร
</t>
  </si>
  <si>
    <t>4. การทบทวนการบริหารความเสี่ยง</t>
  </si>
  <si>
    <r>
      <t xml:space="preserve">จากการตรวจประเมินพบว่ามีการประเมินผลการบริหารความเสี่ยงองค์กร (CRP) โดยการติดตามผลการดำเนินงานตามกิจกรรมในแผนบริหารความเสี่ยง การประเมินประสิทธิผลของทุกขั้นตอน รวมทั้งมีการคาดการณ์ผลลัพธ์ (2024Estimate ) ทั้งนี้เพื่อความครบถ้วนและการมุ่งเน้นผลลัพธ์ที่ได้ตามเป้าหมาย </t>
    </r>
    <r>
      <rPr>
        <u/>
        <sz val="14"/>
        <color rgb="FF0000FF"/>
        <rFont val="Tahoma"/>
        <family val="2"/>
      </rPr>
      <t>ยังไม่พบหลักฐานชัดเจนที่แสดงถึงผลลัพธ์ในทุกขั้นตอนได้ประสิทธิผลตามที่กำหนด</t>
    </r>
    <r>
      <rPr>
        <sz val="14"/>
        <color rgb="FF0000FF"/>
        <rFont val="Tahoma"/>
        <family val="2"/>
      </rPr>
      <t xml:space="preserve"> (ความครบถ้วนของปัจจัย, กระบวนการ, ผลผลิต, ระยะเวลาที่แล้วเสร็จ) เพื่อมั่นใจได้ว่าสามารถปรับปรุงผลการบริหารความเสี่ยงได้ตามเป้าหมาย </t>
    </r>
    <r>
      <rPr>
        <b/>
        <sz val="14"/>
        <color rgb="FFFF0000"/>
        <rFont val="Tahoma"/>
        <family val="2"/>
      </rPr>
      <t>งสญ.</t>
    </r>
  </si>
  <si>
    <r>
      <t>จากการตรวจประเมินยัง</t>
    </r>
    <r>
      <rPr>
        <u/>
        <sz val="14"/>
        <color rgb="FF0000FF"/>
        <rFont val="Tahoma"/>
        <family val="2"/>
      </rPr>
      <t>ไม่พบหลักฐานชัดเจนที่แสดงถึงการทบทวนและปรับปรุงผลความเสี่ยงและผลการบริหารความเสี่ยงที่เกิดขึ้นจริง มีความเชื่อมโยงกับแผนปฏิบัติการที่สำคัญ</t>
    </r>
    <r>
      <rPr>
        <sz val="14"/>
        <color rgb="FF0000FF"/>
        <rFont val="Tahoma"/>
        <family val="2"/>
      </rPr>
      <t xml:space="preserve"> เช่น แผนการบริหารทรัพยากรบุคคล แผนแม่บทเทคโนโลยีดิจิทัล เป็นต้น </t>
    </r>
    <r>
      <rPr>
        <b/>
        <sz val="14"/>
        <color rgb="FFFF0000"/>
        <rFont val="Tahoma"/>
        <family val="2"/>
      </rPr>
      <t>งสญ.</t>
    </r>
  </si>
  <si>
    <r>
      <rPr>
        <sz val="14"/>
        <color rgb="FF0000FF"/>
        <rFont val="Tahoma"/>
        <family val="2"/>
      </rPr>
      <t>จากการตรวจประเมินยังไม่พบหลักฐานชัดเจนที่แสดงถึงผลลัพธ์จากการประเมินประสิทธิผลของการทบทวนและปรับปรุงผลการบริหารความเสี่ยงและนำข้อมูลไปใช้เพื่อปรับปรุงกระบวนการฯ เพื่อสะท้อนให้เห็นถึงผลการดำเนินงานที่ดีขึ้น</t>
    </r>
    <r>
      <rPr>
        <b/>
        <sz val="14"/>
        <color rgb="FFFF0000"/>
        <rFont val="Tahoma"/>
        <family val="2"/>
      </rPr>
      <t xml:space="preserve"> งสญ.</t>
    </r>
  </si>
  <si>
    <r>
      <t>จากการตรวจประเมินพบว่ามีการดำเนินงานปรับปรุงและพัฒนาการบริหารความเสี่ยงองค์กร(CRP) ตามขั้นตอนที่กำหนด ทั้งนี้</t>
    </r>
    <r>
      <rPr>
        <u/>
        <sz val="14"/>
        <color rgb="FF0000FF"/>
        <rFont val="Tahoma"/>
        <family val="2"/>
      </rPr>
      <t>ยังไม่พบหลักฐานชัดเจนที่แสดงถึงการประเมินประสิทธิผลในด้านที่เกี่ยวกับศักยภาพบุคลากรในด้านการบริหารความเสี่ยง รวมทั้งผลลัพธ์ที่เกิดขึ้นจริง</t>
    </r>
    <r>
      <rPr>
        <sz val="14"/>
        <color rgb="FF0000FF"/>
        <rFont val="Tahoma"/>
        <family val="2"/>
      </rPr>
      <t>ของทุกขั้นตอนได้ประสิทธิผลตามที่กำหนด (ความครบถ้วนของปัจจัย, กระบวนการ, ผลผลิต, ระยะเวลาที่แล้วเสร็จ)</t>
    </r>
    <r>
      <rPr>
        <b/>
        <sz val="14"/>
        <color rgb="FFFF0000"/>
        <rFont val="Tahoma"/>
        <family val="2"/>
      </rPr>
      <t xml:space="preserve"> งสญ.</t>
    </r>
  </si>
  <si>
    <r>
      <t>จากการตรวจประเมินยังไม่พบหลักฐานชัดเจนที่แสดงถึง</t>
    </r>
    <r>
      <rPr>
        <u/>
        <sz val="14"/>
        <color rgb="FF0000FF"/>
        <rFont val="Tahoma"/>
        <family val="2"/>
      </rPr>
      <t>การทบทวน การกำหนดแนวทางในการปรับปรุงการบริหารความเสี่ยงองค์กร มีความเชื่อมโยงกับการปรับเปลี่ยนแผนงาน</t>
    </r>
    <r>
      <rPr>
        <sz val="14"/>
        <color rgb="FF0000FF"/>
        <rFont val="Tahoma"/>
        <family val="2"/>
      </rPr>
      <t xml:space="preserve"> วัตถุประสงค์เชิงยุทธศาสตร์ขององค์กร วิสัยทัศน์ และตัวชี้วัดที่สำคัญ และกระบวนการติดตามผลการดำเนินงานตามแผนงานและตัวชี้วัดที่สำคัญขององค์กร เพื่อมั่นใจได้ว่าสามารถปรับปรุงผลการบริหารความเสี่ยงได้ตามเป้าหมาย </t>
    </r>
    <r>
      <rPr>
        <b/>
        <sz val="14"/>
        <color rgb="FFFF0000"/>
        <rFont val="Tahoma"/>
        <family val="2"/>
      </rPr>
      <t>งสญ.</t>
    </r>
  </si>
  <si>
    <r>
      <rPr>
        <sz val="14"/>
        <color rgb="FF0000FF"/>
        <rFont val="Tahoma"/>
        <family val="2"/>
      </rPr>
      <t xml:space="preserve">จากการตรวจประเมินยังไม่พบหลักฐานชัดเจนที่แสดงถึงผลลัพธ์จากการประเมินประสิทธิผลของการทบทวนและปรับปรุงผลการบริหารความเสี่ยงและนำข้อมูลไปใช้เพื่อปรับปรุงกระบวนการฯ เพื่อสะท้อนให้เห็นถึงผลการดำเนินงานที่ดีขึ้น </t>
    </r>
    <r>
      <rPr>
        <b/>
        <sz val="14"/>
        <color rgb="FFFF0000"/>
        <rFont val="Tahoma"/>
        <family val="2"/>
      </rPr>
      <t>งสญ.</t>
    </r>
  </si>
  <si>
    <t xml:space="preserve">ควรทบทวนการประเมินประสิทธิผลของกระบวนการทบทวนและปรับปรุงผลการบริหารความเสี่ยง และแสดงให้เห็นถึงความเชื่อมโยงกับแผนปฏิบัติการที่สำคัญ / แผน HR / แผนแม่บท Digital มากยิ่งขึ้น
</t>
  </si>
  <si>
    <t>5. ข้อมูลสารสนเทศการสื่อสาร และการรายงานผล</t>
  </si>
  <si>
    <t xml:space="preserve"> ปตท. ควรวิเคราะห์ผลการประเมินระดับความรู้ ความเข้าใจ และความตระหนัก รวมถึงประสิทธิภาพของช่องทางการสื่อสาร เพื่อนําผลไปใช้ในการออกแบบแนวทางการปรับปรุงต่อไป </t>
  </si>
  <si>
    <t>#GRCCommunication</t>
  </si>
  <si>
    <r>
      <t>จากการตรวจประเมินพบว่ามีการสื่อสารและสร้างความรู้ความเข้าใจ ความตระหนักเรื่องการบริหารความเสี่ยงและการควบคุมภายใน ผ่านระบบการจัดการอบรม ปตท. (PTT LMS) เช่น Train the risk owner, RM&amp;IC Knowledge Awareness รวมทั้งมีการประเมินผลสำรวจผ่าน GRC Survey กำหนดเป้าหมาย 95% และมีการวิเคราะห์ผลลัพธ์จากการสำรวจฯดังกล่าวฯ มีผลของระดับความรู้ความเข้าใจและความตระหนักเรื่องการบริหารความเสี่ยงและการควบคุมภายในสูงกว่าปีที่ผ่านมา ทั้งนี้</t>
    </r>
    <r>
      <rPr>
        <u/>
        <sz val="14"/>
        <color rgb="FF0000FF"/>
        <rFont val="Tahoma"/>
        <family val="2"/>
      </rPr>
      <t>ยังไม่พบผลลัพธ์ชัดเจนจากผลการอบรมหลักสูตรเกี่ยวกับการบริหารความเสี่ยงและการควบคุมภายในฯ</t>
    </r>
    <r>
      <rPr>
        <sz val="14"/>
        <color rgb="FF0000FF"/>
        <rFont val="Tahoma"/>
        <family val="2"/>
      </rPr>
      <t xml:space="preserve"> สะท้อนให้เห็นถึงผลการอบรมทำให้ผลของระดับความรู้ความเข้าใจและความตระหนักเป็นไปตามเป้าหมายที่กำหนด และดีกว่าปีที่ผ่านมา </t>
    </r>
    <r>
      <rPr>
        <b/>
        <sz val="14"/>
        <color rgb="FFFF0000"/>
        <rFont val="Tahoma"/>
        <family val="2"/>
      </rPr>
      <t>กธญ. ภสญ.</t>
    </r>
  </si>
  <si>
    <r>
      <t xml:space="preserve">จากการตรวจประเมินพบว่ามีการดำเนินการทบทวนและปรับปรุงช่องทางในการสื่อสารมีความเชื่อมโยงกับแผนยุทธศาสตร์ด้าน HR(เชื่อมโยงกับ OG Strategy 2024) มีการพัฒนาหลักสูตรอบรมเกี่ยวกับด้านความเสี่ยงและการควบคุมภายใน รวมทั้งจัดทำแผนพัฒนาด้านดิจิทัลที่สำคัญของ ปตท. ปี 2567 ในการป้องกันความเสี่ยงด้านดิจิทัล และสอดคล้องกับมาตรฐานสากล โดยมีสถาปัตยกรรมด้านความมั่นคงปลอดภัย (Security - GRC) และโครงการพัฒนาระบบฯ ปี 2567 ที่เกี่ยวกับความเสี่ยงด้าน PDPA (กมญ.) ทั้งนี้เพื่อให้ครอบคลุมกับการบริหารความเสี่ยงและการควบคมภายในอย่างครบถ้วน </t>
    </r>
    <r>
      <rPr>
        <u/>
        <sz val="14"/>
        <color rgb="FF0000FF"/>
        <rFont val="Tahoma"/>
        <family val="2"/>
      </rPr>
      <t>ควรแสดงให้เห็นถึงความชัดเจนในการเชื่อมโยงกับแผนแม่บท/แผนปฏิบัติการเทคโนโลยีดิจิทัลที่เกี่ยวข้องกับโครงการพัฒนาระบบหรือ Portal อื่นๆที่สำคัญที่เกี่ยวข้องกับ GRC</t>
    </r>
    <r>
      <rPr>
        <sz val="14"/>
        <color rgb="FF0000FF"/>
        <rFont val="Tahoma"/>
        <family val="2"/>
      </rPr>
      <t xml:space="preserve"> </t>
    </r>
    <r>
      <rPr>
        <b/>
        <sz val="14"/>
        <color rgb="FFFF0000"/>
        <rFont val="Tahoma"/>
        <family val="2"/>
      </rPr>
      <t>กธญ.</t>
    </r>
  </si>
  <si>
    <r>
      <rPr>
        <sz val="14"/>
        <color rgb="FF0000FF"/>
        <rFont val="Tahoma"/>
        <family val="2"/>
      </rPr>
      <t xml:space="preserve">จากการตรวจประเมินยังไม่พบหลักฐานชัดเจนที่แสดงถึงการประเมินประสิทธิผลของทุกขั้นตอน(ของกระบวนการสื่อสารการบริหารความเสี่ยง) และทุกขั้นตอนได้ประสิทธิผลตามที่กำหนด (ความครบถ้วนของปัจจัย, กระบวนการ, ผลผลิต, ระยะเวลาที่แล้วเสร็จ) </t>
    </r>
    <r>
      <rPr>
        <b/>
        <sz val="14"/>
        <color rgb="FFFF0000"/>
        <rFont val="Tahoma"/>
        <family val="2"/>
      </rPr>
      <t>กธญ. งสญ. ภสญ.</t>
    </r>
  </si>
  <si>
    <t>กธญ. ภสญ.</t>
  </si>
  <si>
    <t>#GRCReporting</t>
  </si>
  <si>
    <r>
      <t xml:space="preserve">จากการตรวจประเมินพบว่ามีการระบุถึงระบบเทคโนโลยีดิจิทัลที่สนับสนุนกระบวนการบริหารความเสี่ยง และระบบเตือนภัยล่วงหน้า โดยเก็บรวบรวมข้อมูลความเสี่ยงและการควบคุมภายใน ติดตามผลการดำเนินงานที่สำคัญขององค์กร เช่น ระบบ INCR, ระบบ CMS เป็นต้น มีการสรุปผลการบูรณาการกระบวนการประเมินความเสี่ยง PTT Risk Management Integration มีการพิจารณาถึงสถานะปัจจุบัน (As is) และกำหนดข้อสรุปแนวทางการบูรณาการการจัดการความเสี่ยง (To be) ทั้งนี้เพื่อให้เกิดการบูรณาการอย่างครบถ้วน </t>
    </r>
    <r>
      <rPr>
        <u/>
        <sz val="14"/>
        <color rgb="FF0000FF"/>
        <rFont val="Tahoma"/>
        <family val="2"/>
      </rPr>
      <t>ยังไม่พบหลักฐานชัดเจนที่แสดงถึงผลลัพธ์ของการเชื่อมโยงข้อมูลระบบดังกล่าวตามแนวทางการบูรณาการที่กำหนดไว้ทั้งหมด</t>
    </r>
    <r>
      <rPr>
        <sz val="14"/>
        <color rgb="FF0000FF"/>
        <rFont val="Tahoma"/>
        <family val="2"/>
      </rPr>
      <t xml:space="preserve"> เพื่อสะท้อนให้เห็นถึงประสิทธิผลจากบูรณาการการประเมินความเสี่ยงและการควบคุมภายในของ ปตท. (PTT Risk Management Integration)</t>
    </r>
    <r>
      <rPr>
        <sz val="14"/>
        <color rgb="FFFF0000"/>
        <rFont val="Tahoma"/>
        <family val="2"/>
      </rPr>
      <t xml:space="preserve"> </t>
    </r>
    <r>
      <rPr>
        <b/>
        <sz val="14"/>
        <color rgb="FFFF0000"/>
        <rFont val="Tahoma"/>
        <family val="2"/>
      </rPr>
      <t>ภสญ.</t>
    </r>
  </si>
  <si>
    <r>
      <rPr>
        <sz val="14"/>
        <color rgb="FF0000FF"/>
        <rFont val="Tahoma"/>
        <family val="2"/>
      </rPr>
      <t xml:space="preserve">จากการตรวจประเมินยังไม่พบหลักฐานชัดเจนที่แสดงถึงผลลัพธ์จากการประเมินประสิทธิผลของการทบทวน/ปรับปรุง กระบวนการรายงานผลการบริหารความเสี่ยงเพื่อสะท้อนผลการดำเนินงานที่ดีขึ้น </t>
    </r>
    <r>
      <rPr>
        <b/>
        <sz val="14"/>
        <color rgb="FFFF0000"/>
        <rFont val="Tahoma"/>
        <family val="2"/>
      </rPr>
      <t xml:space="preserve">งสญ. ภสญ. กธญ. </t>
    </r>
  </si>
  <si>
    <r>
      <t>จากการตรวจประเมินพบว่ามีการระบุถึงยุทธศาสตร์ที่ 3 (แผนปฏิบัติการดิจิทัลของ ปตท. ปี 2567 – 2571) โดยนำดิจิทัลมาช่วยในการพัฒนาด้าน SSHE &amp; Sustainability โดยอาศัย Initiatives ที่เกี่ยวข้องกับ Digital Sustainability, Smart Audit Platform, Risk Management Platform, Smart Legal Platform มีการระบุถึงสถาปัตยกรรมด้านความมั่นคงปลอดภัย (Security - GRC)  รวมทั้งมีการระบุถึงการบูรณาการกับเทคโนโลยีดิจิตอล เชื่อมโยงกับ Internal Control และการปรับใช้ทุกส่วนขององค์กร(กิจกรรมควบคุมแบบ Automated และ Semi-Automated) ทั้งนี้</t>
    </r>
    <r>
      <rPr>
        <u/>
        <sz val="14"/>
        <color rgb="FF0000FF"/>
        <rFont val="Tahoma"/>
        <family val="2"/>
      </rPr>
      <t>ยังไม่พบหลักฐานชัดเจนในการเชื่อมโยงกับแผนปฏิบัติการดิจิทัล</t>
    </r>
    <r>
      <rPr>
        <sz val="14"/>
        <color rgb="FF0000FF"/>
        <rFont val="Tahoma"/>
        <family val="2"/>
      </rPr>
      <t xml:space="preserve"> (รายละเอียดแผนปฏิบัติการว่าพัฒนาอย่างไร พัฒนาระบบอะไร ผู้เกี่ยวข้อง ผู้รับผิดชอบอย่างไร) </t>
    </r>
    <r>
      <rPr>
        <u/>
        <sz val="14"/>
        <color rgb="FF0000FF"/>
        <rFont val="Tahoma"/>
        <family val="2"/>
      </rPr>
      <t>รวมทั้งโครงการพัฒนาด้านดิจิทัลของ ปตท. ประจำปี 2567 ที่ระบุในแผนปฏิบัติการดิจิทัล ยังไม่พบข้อมูลชัดเจนที่เชื่อมโยงกับระบบหรือ Platform ที่เกี่ยวข้องกับ Risk Management &amp; Internal Control</t>
    </r>
    <r>
      <rPr>
        <sz val="14"/>
        <color rgb="FF0000FF"/>
        <rFont val="Tahoma"/>
        <family val="2"/>
      </rPr>
      <t xml:space="preserve"> เพื่อให้สอดคล้องในการนำระบบเทคโนโลยีดิจิทัลมาปรับใช้กับทุกส่วนขององค์กร (Digital Transformation) </t>
    </r>
    <r>
      <rPr>
        <b/>
        <sz val="14"/>
        <color rgb="FFFF0000"/>
        <rFont val="Tahoma"/>
        <family val="2"/>
      </rPr>
      <t>ภสญ.</t>
    </r>
  </si>
  <si>
    <r>
      <t xml:space="preserve">จากการตรวจประเมินยังไม่พบหลักฐานชัดเจนที่แสดงถึงผลลัพธ์จากการประเมินประสิทธิผลของการพัฒนาระบบเทคโนโลยีดิจิทัล ที่สนับสนุนกระบวนการบริหารความเสี่ยง และนำข้อมูลไปใช้เพื่อปรับปรุงกระบวนการฯ เพื่อสะท้อนผลการดำเนินงานที่ดีขึ้น </t>
    </r>
    <r>
      <rPr>
        <b/>
        <sz val="14"/>
        <color rgb="FFFF0000"/>
        <rFont val="Tahoma"/>
        <family val="2"/>
      </rPr>
      <t>งสญ. ภสญ.</t>
    </r>
  </si>
  <si>
    <t>ความเชื่อมโยง หรือผลการดำเนินงานจากแผนแม่บท PTT’s Digital Transformation Business Plan 2024 และ Digital Enabler Business Plan ไปใช้เพื่อปรับปรุงด้านการบริหารความเสี่ยงทั่วทั้งองค์กร</t>
  </si>
  <si>
    <t xml:space="preserve">จากผลบริหารความเสี่ยงปี 67 มี 2 ปัจจัยเสี่ยงที่ระดับความรุนแรงไม่เป็นไปตามเป้าหมาย 
-ปรับปรุงระบบเทคโนโลยีดิจิทัล และระบบเตือนภัยล่วงหน้า(EWS) อย่างต่อเนื่อง
</t>
  </si>
  <si>
    <t>5.4 กระบวนการบริหารความต่อเนื่องทางธุรกิจ</t>
  </si>
  <si>
    <r>
      <t>การกําหนดตัวชี้วัด Outcome เป็นการได้รับการรับรอง Certificate ISO 22301  ในปีแรก เป็นตัวชี้วัดที่สร้างความเชื่อมั่นได้ต่อระบบ อย่างไรก็ตาม การตรวจติดตามต่อใบรับรองในปีถัดมาถือเป็น Routine ควรพิจารณาทบทวนตัวชี้วัด Outcome ให้สะท้อนคุณค่าต่อผู้มีส่วนได้ส่วนเสียให้มากยิ่งขึ้น</t>
    </r>
    <r>
      <rPr>
        <sz val="14"/>
        <color rgb="FFC00000"/>
        <rFont val="Tahoma"/>
        <family val="2"/>
      </rPr>
      <t xml:space="preserve"> </t>
    </r>
  </si>
  <si>
    <t>นางสุชีลา สุวรรณ</t>
  </si>
  <si>
    <t>พปล.</t>
  </si>
  <si>
    <r>
      <t>จากการตรวจประเมินพบว่ากระบวนการ BCM มีการกำหนดแนวทางการซ้อมแผน การวัด ติดตาม วิเคราะห์ประเมิน ตัววัดผลลัพธ์ แผน DRP (IT Disaster Recovery Plan) ทั้งนี้</t>
    </r>
    <r>
      <rPr>
        <u/>
        <sz val="14"/>
        <color rgb="FF0000FF"/>
        <rFont val="Tahoma"/>
        <family val="2"/>
      </rPr>
      <t>ยังไม่พบหลักฐานชัดเจนที่แสดงถึงความเชื่อมโยงกับแผนปฏิบัติการดิจิทัล รวมทั้งความเชื่อมโยงกับโครงการพัฒนาด้านดิจิทัลของ ปตท. ประจำปี 2567 ที่ดำเนินการ</t>
    </r>
    <r>
      <rPr>
        <sz val="14"/>
        <color rgb="FF0000FF"/>
        <rFont val="Tahoma"/>
        <family val="2"/>
      </rPr>
      <t xml:space="preserve"> รวมทั้งการนำผลลัพธ์ที่สำคัญของกระบวนการ เข้าสู่กระบวนการทบทวน การกำกับดูแลด้านการบริหารจัดการดิจิทัล /จัดทำแผนปฏิบัติการดิจิทัลขององค์กร (ระยะยาว) </t>
    </r>
    <r>
      <rPr>
        <b/>
        <sz val="14"/>
        <color rgb="FFFF0000"/>
        <rFont val="Tahoma"/>
        <family val="2"/>
      </rPr>
      <t>พปล.</t>
    </r>
  </si>
  <si>
    <r>
      <t xml:space="preserve">จากการตรวจประเมินพบว่ามีการปรับปรุงกระบวนการ BCM เช่น การปรับปรุงระบบ BIA on Web เอกสารกระบวนการ BCM กระบวนการตรวจประเมินภายใน ทั้งนี้ยังไม่พบผลลัพธ์จากการประเมินประสิทธิผลของการปรับปรุงดังกล่าว เพื่อสะท้อนผลการดำเนินงานที่ดีขึ้น </t>
    </r>
    <r>
      <rPr>
        <b/>
        <sz val="14"/>
        <color rgb="FFFF0000"/>
        <rFont val="Tahoma"/>
        <family val="2"/>
      </rPr>
      <t>พปล.</t>
    </r>
  </si>
  <si>
    <t xml:space="preserve">ผลการประเมินการรับรู้ของผู้มีส่วนได้ส่วนเสียแต่ละกลุ่มตามวิธีการประเมินที่กำหนดไว้ </t>
  </si>
  <si>
    <t>การนำผลลัพธ์เข้าสู่กระบวนการทบทวนการกำกับดูแลด้านการบริหารจัดการดิจิทัล / จัดทำแผนปฏิบัติการดิจิทัลขององค์กร ยังไม่สอดคล้องกับแผนระยะยาว โดยในปัจจุบันได้การนำไปประกาศไว้ในแผนปฏิบัติการดิจิทัลของ ปตท. ประจำปี 2567-2571</t>
  </si>
  <si>
    <r>
      <rPr>
        <b/>
        <u/>
        <sz val="10"/>
        <rFont val="Tahoma"/>
        <family val="2"/>
      </rPr>
      <t>การคัดเลือก OFI เพื่อปรับปรุง โดยใช้หลักการ Weighted Scoring Model</t>
    </r>
    <r>
      <rPr>
        <sz val="10"/>
        <rFont val="Tahoma"/>
        <family val="2"/>
      </rPr>
      <t> ซึ่งแต่ละเกณฑ์จะมีน้ำหนัก (Weight) ต่างกันตามความสำคัญ</t>
    </r>
  </si>
  <si>
    <r>
      <t xml:space="preserve"> และแต่ละหัวข้อจะได้รับคะแนนในแต่ละเกณฑ์ จากนั้น</t>
    </r>
    <r>
      <rPr>
        <b/>
        <i/>
        <sz val="10"/>
        <rFont val="Tahoma"/>
        <family val="2"/>
      </rPr>
      <t xml:space="preserve">นำคะแนนมาคูณกับน้ำหนักเพื่อหาคะแนนรวม </t>
    </r>
  </si>
  <si>
    <t>ลำดับที่</t>
  </si>
  <si>
    <t>รายการ OFI ทั้งหมด</t>
  </si>
  <si>
    <t>คะแนนจาก สคร. ในหัวข้อย่อย น้อยกว่า 3</t>
  </si>
  <si>
    <t>มี Action Plan รองรับการปิด OFI อยู่แล้ว</t>
  </si>
  <si>
    <t xml:space="preserve">1. น้ำหนักคะแนนตามเกณฑ์รายข้อ </t>
  </si>
  <si>
    <t>2. ระดับ OFI ที่ได้รับ</t>
  </si>
  <si>
    <t>3. ความง่ายในการแก้</t>
  </si>
  <si>
    <t>4. ผลกระทบต่อความสำเร็จของ Strategic Objective</t>
  </si>
  <si>
    <t>5.งบประมาณที่ใช้</t>
  </si>
  <si>
    <t>6. เทคโนโลยีดิจิทัล</t>
  </si>
  <si>
    <t>คะแนนรวม</t>
  </si>
  <si>
    <t xml:space="preserve">มีนโยบายหรือมีมติจากฝ่ายบริหารให้ปิด OFI เพิ่มเติมหลังการจัดลำดับความสำคัญโดย Process owner </t>
  </si>
  <si>
    <t>1-2</t>
  </si>
  <si>
    <t>แก้ทั้งองค์กร</t>
  </si>
  <si>
    <t>ไม่มีผลกระทบ / ไม่เกี่ยวข้อง</t>
  </si>
  <si>
    <t>มีความจำเป็นต้องขออนุมัติตั้งงบประมาณเพิ่มเติม</t>
  </si>
  <si>
    <t>ค่าใช้จ่ายสูงมากกว่า 500000 บาท</t>
  </si>
  <si>
    <t>3-5</t>
  </si>
  <si>
    <t>แก้ข้ามรอง/ผู้ช่วยขึ้นตรง</t>
  </si>
  <si>
    <t>ไม่ต้องใช้งบประมาณ</t>
  </si>
  <si>
    <t>ผ่านการอนุมัติจากสายงาน</t>
  </si>
  <si>
    <t>6-10</t>
  </si>
  <si>
    <t>แก้ภายในผู้ช่วยเดียวกัน</t>
  </si>
  <si>
    <t>ไม่ต้องใช้เทคโนโลยี</t>
  </si>
  <si>
    <t>11-15</t>
  </si>
  <si>
    <t>L2</t>
  </si>
  <si>
    <t>ต้องแต่งตั้งคณะทำงานเพื่อแก้ไข OFI</t>
  </si>
  <si>
    <t>15 ขึ้นไป</t>
  </si>
  <si>
    <t>L1</t>
  </si>
  <si>
    <t>แก้ระดับฝ่าย</t>
  </si>
  <si>
    <t>คะแนน</t>
  </si>
  <si>
    <t xml:space="preserve">2. ระดับ OFI ที่ได้รับ </t>
  </si>
  <si>
    <t xml:space="preserve">3. ความง่ายในการแก้ </t>
  </si>
  <si>
    <t>5. งบประมาณที่ใช้</t>
  </si>
  <si>
    <t>เทคโนโลยีดิจิทัล</t>
  </si>
  <si>
    <t>ทั้งองค์กร</t>
  </si>
  <si>
    <t>จำเป็นต้องขออนุมัติงบประมาณเพิ่มเติม</t>
  </si>
  <si>
    <t>ค่าใช้จ่ายสูงมากกว่า 500,000 บาท</t>
  </si>
  <si>
    <t>ข้ามรอง / ผู้ช่วยขึ้นตรง</t>
  </si>
  <si>
    <t>มีผลกระทบ / เกี่ยวข้อง</t>
  </si>
  <si>
    <t>งบประมาณเพียงพอ อยู่ในแผนงาน</t>
  </si>
  <si>
    <t>ต้องแต่งตั้งคณะทำงาน(Cross Func.) เพื่อแก้ไข OFI</t>
  </si>
  <si>
    <t>ภายในผู้ช่วยเดียวกัน</t>
  </si>
  <si>
    <t>15+</t>
  </si>
  <si>
    <t>ระดับฝ่าย</t>
  </si>
  <si>
    <r>
      <rPr>
        <b/>
        <u/>
        <sz val="8"/>
        <color theme="1"/>
        <rFont val="Tahoma"/>
        <family val="2"/>
      </rPr>
      <t>Note:</t>
    </r>
    <r>
      <rPr>
        <sz val="8"/>
        <color theme="1"/>
        <rFont val="Tahoma"/>
        <family val="2"/>
      </rPr>
      <t xml:space="preserve">
สามารถ Adjust ใหม่ให้เหมาะสมตาม Range น้ำหนักของเกณฑ์แต่ละ Enabler </t>
    </r>
  </si>
  <si>
    <r>
      <rPr>
        <b/>
        <u/>
        <sz val="8"/>
        <color theme="1"/>
        <rFont val="Tahoma"/>
        <family val="2"/>
      </rPr>
      <t>Note:</t>
    </r>
    <r>
      <rPr>
        <sz val="8"/>
        <color theme="1"/>
        <rFont val="Tahoma"/>
        <family val="2"/>
      </rPr>
      <t xml:space="preserve">
a) HCM &amp; KM ต้องทำครบทุก Level
b) Enablers อื่นๆ จำเป็นต้องแก้ OFI Level ต่ำสุด เป็น 1st Priority เพื่อข้าม Band ไปเก็บคะแนนใน Level ที่สูงขึ้นต่อไป</t>
    </r>
  </si>
  <si>
    <t>สรุป OFI Health Check 2564 : HCM และแผนการปรับปรุง</t>
  </si>
  <si>
    <t>Code Plan</t>
  </si>
  <si>
    <t>หัวข้อ : HCM</t>
  </si>
  <si>
    <t>Score​</t>
  </si>
  <si>
    <t>Wt.​</t>
  </si>
  <si>
    <t>หัวข้อย่อย</t>
  </si>
  <si>
    <t>OFI Code</t>
  </si>
  <si>
    <t>Level</t>
  </si>
  <si>
    <t>OFI​</t>
  </si>
  <si>
    <t>Key Process Owner​</t>
  </si>
  <si>
    <t>สรุปแนวทางการแก้ไข</t>
  </si>
  <si>
    <t>มีแผน 2564​ (พ.ย.64-ก.พ. 65)​</t>
  </si>
  <si>
    <t>มีแผน 2565​</t>
  </si>
  <si>
    <t>มีแผน 2566​</t>
  </si>
  <si>
    <t>Remark</t>
  </si>
  <si>
    <t>HCM_01</t>
  </si>
  <si>
    <t xml:space="preserve">2.​การบริหารทุนมนุษย์ </t>
  </si>
  <si>
    <t>2.1อัตรากำลัง [3.0000]</t>
  </si>
  <si>
    <t>HCM_2.1-1</t>
  </si>
  <si>
    <t>​ ไม่พบหลักฐานการวิเคราะห์ความเพียงพอเชิงปริมาณของอัตรากำลังทั้งระยะสั้นและระยะยาว ที่จะสนับสนุนการดำเนินงานให้บรรลุผลสำเร็จ (L4)</t>
  </si>
  <si>
    <t>พอญ.
ทีม workforce</t>
  </si>
  <si>
    <t>ทำแผนแล้วเสร็จ</t>
  </si>
  <si>
    <t>HCM_02</t>
  </si>
  <si>
    <t>HCM_2.1-2</t>
  </si>
  <si>
    <t>ไม่พบหลักฐานแสดงผลลัพธ์การปรับปรุงกระบวนการโดยการใช้ข้อมูลป้อนกลับตามแผนอัตรากำลังประจำปี ในภาพรวมของ ปตท. เพื่อให้สอดคล้องกับการเปลี่ยนแปลงเพื่อการปรับปรุงอย่างครบถ้วน (L5)</t>
  </si>
  <si>
    <t>HCM_03</t>
  </si>
  <si>
    <t>3.การพัฒนาทุนมนุษย์</t>
  </si>
  <si>
    <t>3.1 การเรียนรู้และการพัฒนา [4.0000]</t>
  </si>
  <si>
    <t>HCM_3.1-1</t>
  </si>
  <si>
    <t>ไม่พบหลักฐานแสดงกระบวนการและการวิเคราะห์ความเชื่อมโยงของระบบการเรียนรู้และการพัฒนากับแผนยุทธศาสตร์องค์กร และแผนงาน/ระบบงานที่สำคัญ  เพื่อให้มั่นใจว่ามีประสิทธิภาพในการดำเนินการได้ครอบคลุม ครบถ้วน และเป็นไปในทิศทางเดียวกัน (พบเพียงตัวอย่างที่แสดงการเชื่อมโยง) (L4)</t>
  </si>
  <si>
    <t>พนญ.
(LO Team : พอญ./ศบญ./บคญ./บทญ.)</t>
  </si>
  <si>
    <t>HCM_04</t>
  </si>
  <si>
    <t>HCM_3.1-2</t>
  </si>
  <si>
    <t>ไม่พบหลักฐานแสดงการทบทวนกระบวนการและที่มาในการนำข้อมูลป้อนเข้าตามแผนงานประจำปี มาใช้ในการปรับปรุง เพื่อให้มั่นใจว่ามีการดำเนินการอย่างมีประสิทธิภาพครบถ้วนและครอบคลุมการเปลี่ยนแปลงทั้งหมด รวมถึงการระบุแนวทางผลการปรับปรุง และผลลัพธ์ร้อยละการดำเนินงานเทียบกับแผนงานประจำปีตามที่เป้าหมายกำหนด (L5)</t>
  </si>
  <si>
    <t>HCM_05</t>
  </si>
  <si>
    <t>3.2 การสืบทอดตำแหน่ง/การบริหารจัดการคนเก่ง/การจัดการสายอาชีพ [4.1667]</t>
  </si>
  <si>
    <t>HCM_3.2-1</t>
  </si>
  <si>
    <t xml:space="preserve">ไม่พบหลักฐานกระบวนการวิเคราะห์และบูรณาการเชื่อมโยงของแผนงานที่สำคัญ (1.การสืบทอดตำแหน่ง, 2.การบริหารจัดการคนเก่ง  และ 3.การจัดการความก้าวหน้าในสายอาชีพ) กับแผนงาน/ระบบงานที่สำคัญอย่างครบถ้วน
(L4)
1.การสืบทอดตำแหน่ง </t>
  </si>
  <si>
    <t>ศบญ.</t>
  </si>
  <si>
    <t>1.การสืบทอดตำแหน่ง 
เลือกประเด็นปรับปรุง : 
กำหนด successor ของตำแหน่งเป้าหมายในปี 2566 – 2568 สำหรับระดับ VP ขึ้นไป 
    (เชื่อมโยงกับ SP/ RM&amp;IC แรงจูงใจ การพัฒนาและการรักษาบุคลากร /HCM ยุทธศาสตร์,กลยุทธ์, การเรียนรู้และการพัฒนา/ DT การนำระบบ Digital มาสนับสนุนงานด้านการบริหารจัดการ)</t>
  </si>
  <si>
    <t>HCM_06</t>
  </si>
  <si>
    <t>HCM_3.2-2</t>
  </si>
  <si>
    <t xml:space="preserve">ไม่พบหลักฐานกระบวนการวิเคราะห์และบูรณาการเชื่อมโยงของแผนงานที่สำคัญ (1.การสืบทอดตำแหน่ง, 2.การบริหารจัดการคนเก่ง  และ 3.การจัดการความก้าวหน้าในสายอาชีพ) กับแผนงาน/ระบบงานที่สำคัญอย่างครบถ้วน
(L4)
2.การบริหารจัดการคนเก่ง  </t>
  </si>
  <si>
    <t xml:space="preserve">พัฒนาและปิด gap พนักงานกลุ่ม VP Pool ขึ้นไป ให้มีความพร้อมตาม New Core Competencies  ที่มีความสอดคล้องกับแผนสืบทอดตำแหน่ง
    (เชื่อมโยงกับ SP/ HCM ยุทธศาสตร์/กลยุทธ์/  
    การเรียนรู้และการพัฒนา/DT /  KM&amp;IM)
</t>
  </si>
  <si>
    <t>พัฒนารูปแบบใหม่ในการเตรียมพนักงาน ให้มีความพร้อมและลงลึกในธุรกิจใหม่แบบเฉพาะเจาะจง (เชื่อมโยงกับ SP/ HCM ยุทธศาสตร์/กลยุทธ์/ ระบบประเมินผลการปฏิบัติงาน /การเรียนรู้และการพัฒนา)</t>
  </si>
  <si>
    <t>HCM_07</t>
  </si>
  <si>
    <t>HCM_3.2-3</t>
  </si>
  <si>
    <t xml:space="preserve">ไม่พบหลักฐานกระบวนการวิเคราะห์และบูรณาการเชื่อมโยงของแผนงานที่สำคัญ (1.การสืบทอดตำแหน่ง, 2.การบริหารจัดการคนเก่ง  และ 3.การจัดการความก้าวหน้าในสายอาชีพ) กับแผนงาน/ระบบงานที่สำคัญอย่างครบถ้วน
(L4)
3.การจัดการความก้าวหน้าในสายอาชีพ </t>
  </si>
  <si>
    <t>ทีม Career : ทบทวนกระบวนการแต่งตั้งคณะกรรมการ Career Counselling Team (CCT) เพื่อให้มีความเป็นปัจจุบันและสอดคล้องเหมาะสมกับการเปลี่ยนแปลง ในกรณีมีการปรับโครงสร้าง และ/หรือ มีการแต่งตั้ง โยกย้าย ผู้บริหารดำรงตำแหน่งตามโครงสร้างใหม่ในแต่ละสายอาชีพ และเพื่อให้ได้ผู้แทนจากสายอาชีพที่เหมาะสม เป็นผู้พิจารณาแนวทางการพัฒนาพนักงานให้มีความเชี่ยวชาญและก้าวหน้าในสายอาชีพ สอดคล้องกับทิศทางการดำเนินธุรกิจขององค์กร​ (เชื่อมโยงกับ SP การเชื่อมโยงกับแผนยุทธศาสตร์ ตามทิศทางและเป้าหมายองค์กรขององค์กร/ HCM การเรียนรู้และการพัฒนา)</t>
  </si>
  <si>
    <t>HCM_08</t>
  </si>
  <si>
    <t xml:space="preserve">4. สภาพแวดล้อมที่สนับสนุนการบริหารและพัฒนาทุนมนุษย์
</t>
  </si>
  <si>
    <t>4.1 ความผูกพันองค์กร/ค่านิยมและวัฒนธรรมองค์กร/การจัดการการเปลี่ยนแปลง/จรรยาบรรณและจริยธรรม [3.6071]</t>
  </si>
  <si>
    <t>HCM_4.1-1</t>
  </si>
  <si>
    <t>ไม่พบหลักฐานแสดงกระบวนการติดตามและประเมินผลด้านการจัดการการเปลี่ยนแปลง (Change Management) ในช่วงต่างๆ : Pre Change / Change / Post Change(L3)</t>
  </si>
  <si>
    <t>พอญ.
ทีมโครงสร้าง</t>
  </si>
  <si>
    <t>บอญ. ช่วยจัดทำแผน สรุปผลนำเสนอ ผกญ. และรอนัดประชุม สผญ.</t>
  </si>
  <si>
    <t>HCM_09</t>
  </si>
  <si>
    <t>HCM_4.1-2</t>
  </si>
  <si>
    <t xml:space="preserve">ไม่พบหลักฐานแสดงกระบวนการประเมินผลการดำเนินงานที่มีประสิทธิภาพ และร้อยละของผลลัพธ์การดำเนินงานเทียบกับแผนงานประจำปีของการมีคณะกรรมการด้านบุคคลที่สอดคล้องตามเป้าหมายที่กำหนด (L3)
       - HRAC, HRMC, HRC 
       - คณะกรรมการทุน 
       - CCT/Sub-CCT </t>
  </si>
  <si>
    <t>นทญ./ศบญ./ บคญ./ บทญ.</t>
  </si>
  <si>
    <t>รอดำเนินการ</t>
  </si>
  <si>
    <t>HCM_10</t>
  </si>
  <si>
    <t>HCM_4.1-3</t>
  </si>
  <si>
    <t>ไม่พบหลักฐานที่แสดงกระบวนการวิเคราะห์ความเชื่อมโยงระหว่างแผนยุทธศาสตร์องค์กร กับแผนการสร้างสภาพแวดล้อมที่สนับสนุนการบริหารและพัฒนาทุนมนุษย์ ดังต่อไปนี้
1) การสร้างความผูกพันองค์กร</t>
  </si>
  <si>
    <t>นทญ.
ทีม Strategy</t>
  </si>
  <si>
    <t>ทำแผนแล้วเสร็จ รอหารือเพิ่มเติม</t>
  </si>
  <si>
    <t>2) การเสริมสร้างค่านิยมและวัฒนธรรมองค์กร</t>
  </si>
  <si>
    <t>พอญ.
ทีม SPIRIT</t>
  </si>
  <si>
    <t>รอ นทญ. รวมภาพแผนกลยุทธ์ใหญ่ และแผนงานที่สำคัญ</t>
  </si>
  <si>
    <t>3) การจัดการการเปลี่ยนแปลง</t>
  </si>
  <si>
    <t>พอญ.
ทีม โครงสร้าง</t>
  </si>
  <si>
    <t>4) การจัดทำและสื่อสารคู่มือจรรยาบรรณและจริยธรรม</t>
  </si>
  <si>
    <t>5) การสื่อสารและเปิดเผยข้อมูลความขัดแย้งทางผลประโยชน์</t>
  </si>
  <si>
    <t>6) การรับฟังและบริหารข้อร้องเรียน</t>
  </si>
  <si>
    <t>7) คณะกรรมการด้านบุคคล</t>
  </si>
  <si>
    <r>
      <t xml:space="preserve">      รวมถึงความเชื่อมโยงกับแผนงาน/ระบบงานที่สำคัญอื่นๆ ที่เกี่ยวข้อง
</t>
    </r>
    <r>
      <rPr>
        <sz val="11"/>
        <color rgb="FF0000FF"/>
        <rFont val="Tahoma"/>
        <family val="2"/>
        <scheme val="minor"/>
      </rPr>
      <t>(ปัจจุบันมีการแสดงตัวอย่างความเชื่อมโยง แต่กระบวนการในการวิเคราะห์ความเชื่อมโยงยังไม่ชัดเจนว่าเมื่อไรจะเชื่อมโยงกับยุทธศาตร์หรือเป็นความเชื่อมโยงในลักษณะ BAU)(L4)</t>
    </r>
  </si>
  <si>
    <t>HCM_11</t>
  </si>
  <si>
    <t>HCM_4.1-4</t>
  </si>
  <si>
    <t xml:space="preserve">ไม่พบหลักฐานแสดงการใช้ข้อมูลป้อนกลับจากการดำเนินงานตามแผนงานประจำปี มาปรับปรุงพัฒนาการดำเนินงานด้าน คณะกรรมการด้านบุคคล (L5)
        - HRAC, HRMC, HRC 
       - คณะกรรมการทุน 
       - CCT/Sub-CCT </t>
  </si>
  <si>
    <t xml:space="preserve">
นทญ./ศบญ./ บคญ./ บทญ.</t>
  </si>
  <si>
    <t>HCM_12</t>
  </si>
  <si>
    <t>4.4 บทบาทของสายงาน HR และการสนับสนุนจากผู้บริหาร [3.4095]</t>
  </si>
  <si>
    <t>HCM_4.4-1</t>
  </si>
  <si>
    <t>ไม่พบหลักฐานการกำหนดกระบวนการส่งเสริมพัฒนาผู้แทนของสายงาน (HR Coordinator) (L1)</t>
  </si>
  <si>
    <t>บคญ.,
บทญ.</t>
  </si>
  <si>
    <t>HCM_13</t>
  </si>
  <si>
    <t>HCM_4.4-2</t>
  </si>
  <si>
    <t>ไม่พบหลักฐานการกำหนดกระบวนการ/แนวทาง/วิธีการในการสอบทานการดำเนินงานของกระบวนการที่สำคัญด้าน HR  (HR audit) (L2)</t>
  </si>
  <si>
    <t>HCM_14</t>
  </si>
  <si>
    <t>HCM_4.4-3</t>
  </si>
  <si>
    <t>ไม่พบหลักฐานกระบวนการส่งเสริม/พัฒนาระบบ/ทีมงานของบุคลากรที่รับผิดชอบด้าน HR ในการดำเนินงานเพื่อให้ได้การรับคุณวุฒิวิชาชีพ (พบเพียงการทบทวน Development Framework ของ HR Academy และการทำ HR on Shelf) (L2)</t>
  </si>
  <si>
    <t>HCM_15</t>
  </si>
  <si>
    <t>HCM_4.4-4</t>
  </si>
  <si>
    <t>ไม่พบหลักฐานกลไกหรือกระบวนการติดตามและประเมินผลการดำเนินงาน และร้อยละของผลลัพธ์การดำเนินงานเทียบกับแผนงานประจำปี 
ด้านการพัฒนาผู้แทนของสายงาน (HR Coordinator) (L5)</t>
  </si>
  <si>
    <t>HCM_16</t>
  </si>
  <si>
    <t>HCM_4.4-5</t>
  </si>
  <si>
    <t>ไม่พบหลักฐานกลไกหรือกระบวนการติดตามและประเมินผลการดำเนินงาน และร้อยละของผลลัพธ์การดำเนินงานเทียบกับแผนงานประจำปี ด้านการส่งเสริมให้บุคลากรของหน่วยงานที่รับผิดชอบด้าน HR ได้รับคุณวุฒิวิชาชีพ (พบเพียงแต่การนำหลักการ Kirkpatrick Model มาใช้ในการประเมิน HR Academy) (L5)</t>
  </si>
  <si>
    <t>ดำเนินการเปรียบเทียบสิ่งที่ ปตท. ดำเนินการ รอเพิ่มเติมเรื่อง การImprovemenrt กระบวนการ</t>
  </si>
  <si>
    <t>HCM_17</t>
  </si>
  <si>
    <t>HCM_4.4-6</t>
  </si>
  <si>
    <t>ไม่พบหลักฐานกลไกหรือกระบวนการติดตามและประเมินผลการดำเนินงาน และร้อยละของผลลัพธ์การดำเนินงานเทียบกับแผนงานประจำปี ด้านการกำหนดแนวทาง/วิธีการในการสอบทานการดำเนินงานของกระบวนการที่สำคัญด้าน HR (HR audit) (L5)</t>
  </si>
  <si>
    <t>บอญ.ช่วยเซตกระบวนการ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</si>
</sst>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%"/>
    <numFmt numFmtId="166" formatCode="0.0000"/>
  </numFmts>
  <fonts count="5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theme="1" tint="0.1499984740745262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14"/>
      <color theme="1"/>
      <name val="Tahoma"/>
      <family val="2"/>
      <scheme val="minor"/>
    </font>
    <font>
      <sz val="11"/>
      <color rgb="FF0000FF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u/>
      <sz val="11"/>
      <color theme="0"/>
      <name val="Tahoma"/>
      <family val="2"/>
      <scheme val="minor"/>
    </font>
    <font>
      <sz val="14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b/>
      <sz val="14"/>
      <color rgb="FF000000"/>
      <name val="Tahoma"/>
      <family val="2"/>
      <scheme val="major"/>
    </font>
    <font>
      <sz val="14"/>
      <color rgb="FF000000"/>
      <name val="Tahoma"/>
      <family val="2"/>
      <scheme val="major"/>
    </font>
    <font>
      <sz val="14"/>
      <name val="Tahoma"/>
      <family val="2"/>
      <scheme val="major"/>
    </font>
    <font>
      <b/>
      <sz val="14"/>
      <color rgb="FF0000FF"/>
      <name val="Tahoma"/>
      <family val="2"/>
      <scheme val="major"/>
    </font>
    <font>
      <sz val="14"/>
      <color theme="1"/>
      <name val="Tahoma"/>
      <family val="2"/>
      <scheme val="major"/>
    </font>
    <font>
      <sz val="14"/>
      <color theme="1"/>
      <name val="Tahoma"/>
      <family val="2"/>
      <scheme val="minor"/>
    </font>
    <font>
      <b/>
      <sz val="14"/>
      <color rgb="FF000000"/>
      <name val="Tahoma"/>
      <family val="2"/>
    </font>
    <font>
      <b/>
      <sz val="16"/>
      <color rgb="FF000000"/>
      <name val="Tahoma"/>
      <family val="2"/>
      <scheme val="major"/>
    </font>
    <font>
      <b/>
      <sz val="13"/>
      <color theme="1"/>
      <name val="Tahoma"/>
      <family val="2"/>
      <scheme val="minor"/>
    </font>
    <font>
      <b/>
      <sz val="14"/>
      <color theme="1"/>
      <name val="Tahoma"/>
      <family val="2"/>
    </font>
    <font>
      <sz val="14"/>
      <color rgb="FF0000FF"/>
      <name val="Tahoma"/>
      <family val="2"/>
    </font>
    <font>
      <b/>
      <sz val="14"/>
      <color rgb="FF0000FF"/>
      <name val="Tahoma"/>
      <family val="2"/>
    </font>
    <font>
      <sz val="14"/>
      <color rgb="FFFF0000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  <charset val="222"/>
      <scheme val="minor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sz val="8"/>
      <color theme="1"/>
      <name val="Tahoma"/>
      <family val="2"/>
    </font>
    <font>
      <b/>
      <u/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rgb="FFFFFFFF"/>
      <name val="Tahoma"/>
      <family val="2"/>
    </font>
    <font>
      <sz val="8"/>
      <color rgb="FF00000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u/>
      <sz val="10"/>
      <name val="Tahoma"/>
      <family val="2"/>
    </font>
    <font>
      <b/>
      <i/>
      <sz val="10"/>
      <name val="Tahoma"/>
      <family val="2"/>
    </font>
    <font>
      <sz val="14"/>
      <color rgb="FFFF0000"/>
      <name val="Tahoma"/>
      <family val="2"/>
      <scheme val="minor"/>
    </font>
    <font>
      <sz val="14"/>
      <name val="Tahoma"/>
      <family val="2"/>
      <scheme val="minor"/>
    </font>
    <font>
      <sz val="14"/>
      <color theme="0" tint="-0.249977111117893"/>
      <name val="Tahoma"/>
      <family val="2"/>
      <scheme val="major"/>
    </font>
    <font>
      <sz val="14"/>
      <color theme="0" tint="-0.249977111117893"/>
      <name val="Tahoma"/>
      <family val="2"/>
      <scheme val="minor"/>
    </font>
    <font>
      <u/>
      <sz val="14"/>
      <color rgb="FF0000FF"/>
      <name val="Tahoma"/>
      <family val="2"/>
    </font>
    <font>
      <sz val="14"/>
      <color theme="0" tint="-0.34998626667073579"/>
      <name val="Tahoma"/>
      <family val="2"/>
      <scheme val="major"/>
    </font>
    <font>
      <sz val="14"/>
      <color rgb="FFC00000"/>
      <name val="Tahoma"/>
      <family val="2"/>
    </font>
    <font>
      <b/>
      <sz val="20"/>
      <color rgb="FF0000FF"/>
      <name val="Tahoma"/>
      <family val="2"/>
    </font>
    <font>
      <sz val="14"/>
      <color rgb="FFFF00FF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300">
    <xf numFmtId="0" fontId="0" fillId="0" borderId="0" xfId="0"/>
    <xf numFmtId="0" fontId="3" fillId="4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10" fontId="5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1" fillId="2" borderId="8" xfId="0" applyFont="1" applyFill="1" applyBorder="1" applyAlignment="1">
      <alignment horizontal="left" vertical="top" wrapText="1"/>
    </xf>
    <xf numFmtId="164" fontId="1" fillId="2" borderId="8" xfId="0" applyNumberFormat="1" applyFont="1" applyFill="1" applyBorder="1" applyAlignment="1">
      <alignment horizontal="left" vertical="top" wrapText="1"/>
    </xf>
    <xf numFmtId="9" fontId="1" fillId="2" borderId="8" xfId="0" applyNumberFormat="1" applyFont="1" applyFill="1" applyBorder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166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top"/>
    </xf>
    <xf numFmtId="0" fontId="5" fillId="8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166" fontId="1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6" fontId="1" fillId="2" borderId="12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1" fillId="9" borderId="0" xfId="1" applyFont="1" applyFill="1" applyAlignment="1">
      <alignment horizontal="center"/>
    </xf>
    <xf numFmtId="0" fontId="11" fillId="9" borderId="8" xfId="1" applyFont="1" applyFill="1" applyBorder="1" applyAlignment="1">
      <alignment horizontal="center" vertical="center"/>
    </xf>
    <xf numFmtId="0" fontId="11" fillId="9" borderId="9" xfId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0" fontId="11" fillId="9" borderId="5" xfId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top" wrapText="1"/>
    </xf>
    <xf numFmtId="0" fontId="5" fillId="6" borderId="15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wrapText="1"/>
    </xf>
    <xf numFmtId="0" fontId="0" fillId="11" borderId="14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14" xfId="0" applyFill="1" applyBorder="1" applyAlignment="1">
      <alignment wrapText="1"/>
    </xf>
    <xf numFmtId="0" fontId="0" fillId="11" borderId="0" xfId="0" applyFill="1"/>
    <xf numFmtId="0" fontId="0" fillId="13" borderId="14" xfId="0" applyFill="1" applyBorder="1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16" borderId="19" xfId="0" applyFont="1" applyFill="1" applyBorder="1" applyAlignment="1">
      <alignment horizontal="center" vertical="center" wrapText="1" readingOrder="1"/>
    </xf>
    <xf numFmtId="0" fontId="16" fillId="0" borderId="19" xfId="0" applyFont="1" applyBorder="1" applyAlignment="1">
      <alignment horizontal="center" vertical="center" wrapText="1" readingOrder="1"/>
    </xf>
    <xf numFmtId="0" fontId="16" fillId="0" borderId="19" xfId="0" applyFont="1" applyBorder="1" applyAlignment="1">
      <alignment horizontal="left" vertical="center" wrapText="1" readingOrder="1"/>
    </xf>
    <xf numFmtId="0" fontId="17" fillId="0" borderId="19" xfId="0" applyFont="1" applyBorder="1" applyAlignment="1">
      <alignment horizontal="left" vertical="center" wrapText="1"/>
    </xf>
    <xf numFmtId="0" fontId="18" fillId="17" borderId="19" xfId="0" applyFont="1" applyFill="1" applyBorder="1" applyAlignment="1">
      <alignment horizontal="left" vertical="center" wrapText="1" readingOrder="1"/>
    </xf>
    <xf numFmtId="0" fontId="18" fillId="17" borderId="19" xfId="0" applyFont="1" applyFill="1" applyBorder="1" applyAlignment="1">
      <alignment horizontal="center" vertical="center" wrapText="1" readingOrder="1"/>
    </xf>
    <xf numFmtId="166" fontId="18" fillId="17" borderId="19" xfId="0" applyNumberFormat="1" applyFont="1" applyFill="1" applyBorder="1" applyAlignment="1">
      <alignment horizontal="center" vertical="center" wrapText="1" readingOrder="1"/>
    </xf>
    <xf numFmtId="0" fontId="19" fillId="0" borderId="19" xfId="0" applyFont="1" applyBorder="1"/>
    <xf numFmtId="0" fontId="19" fillId="0" borderId="19" xfId="0" applyFont="1" applyBorder="1" applyAlignment="1">
      <alignment horizontal="center"/>
    </xf>
    <xf numFmtId="10" fontId="15" fillId="15" borderId="19" xfId="2" applyNumberFormat="1" applyFont="1" applyFill="1" applyBorder="1" applyAlignment="1">
      <alignment horizontal="center" vertical="center" wrapText="1" readingOrder="1"/>
    </xf>
    <xf numFmtId="0" fontId="20" fillId="0" borderId="19" xfId="0" applyFont="1" applyBorder="1"/>
    <xf numFmtId="0" fontId="20" fillId="0" borderId="19" xfId="0" applyFont="1" applyBorder="1" applyAlignment="1">
      <alignment horizontal="center"/>
    </xf>
    <xf numFmtId="10" fontId="15" fillId="18" borderId="19" xfId="2" applyNumberFormat="1" applyFont="1" applyFill="1" applyBorder="1" applyAlignment="1">
      <alignment horizontal="center" vertical="center" wrapText="1" readingOrder="1"/>
    </xf>
    <xf numFmtId="166" fontId="8" fillId="18" borderId="19" xfId="2" applyNumberFormat="1" applyFont="1" applyFill="1" applyBorder="1" applyAlignment="1">
      <alignment horizontal="center" vertical="center"/>
    </xf>
    <xf numFmtId="166" fontId="8" fillId="18" borderId="19" xfId="0" applyNumberFormat="1" applyFont="1" applyFill="1" applyBorder="1" applyAlignment="1">
      <alignment horizontal="center" vertical="center"/>
    </xf>
    <xf numFmtId="0" fontId="24" fillId="14" borderId="9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 wrapText="1"/>
    </xf>
    <xf numFmtId="9" fontId="12" fillId="2" borderId="8" xfId="0" applyNumberFormat="1" applyFont="1" applyFill="1" applyBorder="1" applyAlignment="1">
      <alignment horizontal="center" vertical="top"/>
    </xf>
    <xf numFmtId="0" fontId="16" fillId="0" borderId="8" xfId="0" applyFont="1" applyBorder="1" applyAlignment="1">
      <alignment horizontal="left" vertical="top" wrapText="1" readingOrder="1"/>
    </xf>
    <xf numFmtId="9" fontId="24" fillId="0" borderId="8" xfId="0" applyNumberFormat="1" applyFont="1" applyBorder="1" applyAlignment="1">
      <alignment horizontal="left" vertical="top" wrapText="1"/>
    </xf>
    <xf numFmtId="9" fontId="12" fillId="0" borderId="8" xfId="0" applyNumberFormat="1" applyFont="1" applyBorder="1" applyAlignment="1">
      <alignment horizontal="center" vertical="top"/>
    </xf>
    <xf numFmtId="165" fontId="12" fillId="0" borderId="8" xfId="0" applyNumberFormat="1" applyFont="1" applyBorder="1" applyAlignment="1">
      <alignment horizontal="center" vertical="top"/>
    </xf>
    <xf numFmtId="0" fontId="16" fillId="0" borderId="0" xfId="0" applyFont="1" applyAlignment="1">
      <alignment horizontal="left" vertical="top" wrapText="1" readingOrder="1"/>
    </xf>
    <xf numFmtId="9" fontId="12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24" fillId="19" borderId="1" xfId="0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15" fillId="16" borderId="8" xfId="0" applyFont="1" applyFill="1" applyBorder="1" applyAlignment="1">
      <alignment horizontal="center" vertical="center" wrapText="1" readingOrder="1"/>
    </xf>
    <xf numFmtId="1" fontId="24" fillId="19" borderId="1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/>
    </xf>
    <xf numFmtId="1" fontId="12" fillId="2" borderId="8" xfId="0" applyNumberFormat="1" applyFont="1" applyFill="1" applyBorder="1" applyAlignment="1">
      <alignment horizontal="center" vertical="top"/>
    </xf>
    <xf numFmtId="0" fontId="25" fillId="2" borderId="8" xfId="0" applyFont="1" applyFill="1" applyBorder="1" applyAlignment="1">
      <alignment horizontal="center" vertical="top"/>
    </xf>
    <xf numFmtId="9" fontId="25" fillId="2" borderId="8" xfId="0" applyNumberFormat="1" applyFont="1" applyFill="1" applyBorder="1" applyAlignment="1">
      <alignment horizontal="center" vertical="top"/>
    </xf>
    <xf numFmtId="1" fontId="25" fillId="2" borderId="8" xfId="0" applyNumberFormat="1" applyFont="1" applyFill="1" applyBorder="1" applyAlignment="1">
      <alignment horizontal="center" vertical="top"/>
    </xf>
    <xf numFmtId="0" fontId="25" fillId="2" borderId="8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left" vertical="top" wrapText="1"/>
    </xf>
    <xf numFmtId="0" fontId="25" fillId="2" borderId="8" xfId="0" quotePrefix="1" applyFont="1" applyFill="1" applyBorder="1" applyAlignment="1">
      <alignment horizontal="left" vertical="top" wrapText="1"/>
    </xf>
    <xf numFmtId="0" fontId="25" fillId="2" borderId="8" xfId="0" applyFont="1" applyFill="1" applyBorder="1" applyAlignment="1">
      <alignment horizontal="left" vertical="top"/>
    </xf>
    <xf numFmtId="0" fontId="12" fillId="2" borderId="8" xfId="0" quotePrefix="1" applyFont="1" applyFill="1" applyBorder="1" applyAlignment="1">
      <alignment horizontal="left" vertical="top" wrapText="1"/>
    </xf>
    <xf numFmtId="0" fontId="29" fillId="2" borderId="8" xfId="0" applyFont="1" applyFill="1" applyBorder="1" applyAlignment="1">
      <alignment horizontal="center" vertical="top" wrapText="1"/>
    </xf>
    <xf numFmtId="0" fontId="32" fillId="0" borderId="24" xfId="0" applyFont="1" applyBorder="1"/>
    <xf numFmtId="0" fontId="33" fillId="0" borderId="24" xfId="0" applyFont="1" applyBorder="1"/>
    <xf numFmtId="0" fontId="37" fillId="21" borderId="24" xfId="0" applyFont="1" applyFill="1" applyBorder="1" applyAlignment="1">
      <alignment horizontal="center" vertical="center" wrapText="1" readingOrder="1"/>
    </xf>
    <xf numFmtId="0" fontId="37" fillId="21" borderId="22" xfId="0" applyFont="1" applyFill="1" applyBorder="1" applyAlignment="1">
      <alignment horizontal="center" vertical="center" wrapText="1" readingOrder="1"/>
    </xf>
    <xf numFmtId="0" fontId="37" fillId="22" borderId="24" xfId="0" applyFont="1" applyFill="1" applyBorder="1" applyAlignment="1">
      <alignment horizontal="center" vertical="center" wrapText="1" readingOrder="1"/>
    </xf>
    <xf numFmtId="0" fontId="37" fillId="22" borderId="23" xfId="0" applyFont="1" applyFill="1" applyBorder="1" applyAlignment="1">
      <alignment horizontal="center" vertical="center" wrapText="1" readingOrder="1"/>
    </xf>
    <xf numFmtId="0" fontId="37" fillId="21" borderId="23" xfId="0" applyFont="1" applyFill="1" applyBorder="1" applyAlignment="1">
      <alignment horizontal="center" vertical="center" wrapText="1" readingOrder="1"/>
    </xf>
    <xf numFmtId="0" fontId="38" fillId="11" borderId="24" xfId="0" applyFont="1" applyFill="1" applyBorder="1" applyAlignment="1">
      <alignment horizontal="center" vertical="center" wrapText="1" readingOrder="1"/>
    </xf>
    <xf numFmtId="0" fontId="38" fillId="23" borderId="25" xfId="0" applyFont="1" applyFill="1" applyBorder="1" applyAlignment="1">
      <alignment horizontal="center" vertical="center" wrapText="1" readingOrder="1"/>
    </xf>
    <xf numFmtId="0" fontId="38" fillId="24" borderId="21" xfId="0" applyFont="1" applyFill="1" applyBorder="1" applyAlignment="1">
      <alignment horizontal="center" vertical="center" wrapText="1" readingOrder="1"/>
    </xf>
    <xf numFmtId="0" fontId="39" fillId="21" borderId="22" xfId="0" applyFont="1" applyFill="1" applyBorder="1" applyAlignment="1">
      <alignment horizontal="center" vertical="center" wrapText="1" readingOrder="1"/>
    </xf>
    <xf numFmtId="0" fontId="39" fillId="22" borderId="23" xfId="0" applyFont="1" applyFill="1" applyBorder="1" applyAlignment="1">
      <alignment horizontal="center" vertical="center" wrapText="1" readingOrder="1"/>
    </xf>
    <xf numFmtId="0" fontId="39" fillId="21" borderId="23" xfId="0" applyFont="1" applyFill="1" applyBorder="1" applyAlignment="1">
      <alignment horizontal="center" vertical="center" wrapText="1" readingOrder="1"/>
    </xf>
    <xf numFmtId="0" fontId="38" fillId="25" borderId="21" xfId="0" applyFont="1" applyFill="1" applyBorder="1" applyAlignment="1">
      <alignment horizontal="center" vertical="center" wrapText="1" readingOrder="1"/>
    </xf>
    <xf numFmtId="0" fontId="39" fillId="0" borderId="24" xfId="0" applyFont="1" applyBorder="1"/>
    <xf numFmtId="0" fontId="38" fillId="7" borderId="21" xfId="0" applyFont="1" applyFill="1" applyBorder="1" applyAlignment="1">
      <alignment horizontal="center" vertical="center" wrapText="1" readingOrder="1"/>
    </xf>
    <xf numFmtId="0" fontId="38" fillId="26" borderId="21" xfId="0" applyFont="1" applyFill="1" applyBorder="1" applyAlignment="1">
      <alignment horizontal="center" vertical="center" wrapText="1" readingOrder="1"/>
    </xf>
    <xf numFmtId="0" fontId="32" fillId="0" borderId="32" xfId="0" applyFont="1" applyBorder="1"/>
    <xf numFmtId="16" fontId="37" fillId="21" borderId="24" xfId="0" quotePrefix="1" applyNumberFormat="1" applyFont="1" applyFill="1" applyBorder="1" applyAlignment="1">
      <alignment horizontal="center" vertical="center" wrapText="1" readingOrder="1"/>
    </xf>
    <xf numFmtId="16" fontId="37" fillId="22" borderId="24" xfId="0" quotePrefix="1" applyNumberFormat="1" applyFont="1" applyFill="1" applyBorder="1" applyAlignment="1">
      <alignment horizontal="center" vertical="center" wrapText="1" readingOrder="1"/>
    </xf>
    <xf numFmtId="17" fontId="37" fillId="22" borderId="24" xfId="0" quotePrefix="1" applyNumberFormat="1" applyFont="1" applyFill="1" applyBorder="1" applyAlignment="1">
      <alignment horizontal="center" vertical="center" wrapText="1" readingOrder="1"/>
    </xf>
    <xf numFmtId="0" fontId="30" fillId="0" borderId="27" xfId="0" applyFont="1" applyBorder="1" applyAlignment="1">
      <alignment vertical="top" readingOrder="1"/>
    </xf>
    <xf numFmtId="0" fontId="30" fillId="0" borderId="31" xfId="0" applyFont="1" applyBorder="1" applyAlignment="1">
      <alignment vertical="top" readingOrder="1"/>
    </xf>
    <xf numFmtId="0" fontId="30" fillId="0" borderId="28" xfId="0" applyFont="1" applyBorder="1" applyAlignment="1">
      <alignment vertical="top" readingOrder="1"/>
    </xf>
    <xf numFmtId="0" fontId="31" fillId="0" borderId="24" xfId="0" applyFont="1" applyBorder="1"/>
    <xf numFmtId="0" fontId="31" fillId="0" borderId="34" xfId="0" applyFont="1" applyBorder="1" applyAlignment="1">
      <alignment vertical="top" readingOrder="1"/>
    </xf>
    <xf numFmtId="0" fontId="30" fillId="0" borderId="35" xfId="0" applyFont="1" applyBorder="1" applyAlignment="1">
      <alignment vertical="top" readingOrder="1"/>
    </xf>
    <xf numFmtId="0" fontId="30" fillId="0" borderId="36" xfId="0" applyFont="1" applyBorder="1" applyAlignment="1">
      <alignment vertical="top" readingOrder="1"/>
    </xf>
    <xf numFmtId="0" fontId="36" fillId="20" borderId="37" xfId="0" applyFont="1" applyFill="1" applyBorder="1" applyAlignment="1">
      <alignment horizontal="center" vertical="center" wrapText="1" readingOrder="1"/>
    </xf>
    <xf numFmtId="0" fontId="36" fillId="20" borderId="41" xfId="0" applyFont="1" applyFill="1" applyBorder="1" applyAlignment="1">
      <alignment horizontal="center" vertical="center" wrapText="1" readingOrder="1"/>
    </xf>
    <xf numFmtId="0" fontId="36" fillId="20" borderId="0" xfId="0" applyFont="1" applyFill="1" applyAlignment="1">
      <alignment horizontal="center" vertical="center" wrapText="1" readingOrder="1"/>
    </xf>
    <xf numFmtId="0" fontId="33" fillId="0" borderId="26" xfId="0" applyFont="1" applyBorder="1"/>
    <xf numFmtId="0" fontId="36" fillId="20" borderId="38" xfId="0" applyFont="1" applyFill="1" applyBorder="1" applyAlignment="1">
      <alignment horizontal="center" vertical="center" wrapText="1" readingOrder="1"/>
    </xf>
    <xf numFmtId="0" fontId="35" fillId="11" borderId="24" xfId="0" applyFont="1" applyFill="1" applyBorder="1" applyAlignment="1">
      <alignment horizontal="center" vertical="center"/>
    </xf>
    <xf numFmtId="9" fontId="38" fillId="11" borderId="37" xfId="0" applyNumberFormat="1" applyFont="1" applyFill="1" applyBorder="1" applyAlignment="1">
      <alignment horizontal="center" vertical="center" wrapText="1" readingOrder="1"/>
    </xf>
    <xf numFmtId="9" fontId="38" fillId="23" borderId="33" xfId="0" applyNumberFormat="1" applyFont="1" applyFill="1" applyBorder="1" applyAlignment="1">
      <alignment horizontal="center" vertical="center" wrapText="1" readingOrder="1"/>
    </xf>
    <xf numFmtId="9" fontId="38" fillId="24" borderId="33" xfId="0" applyNumberFormat="1" applyFont="1" applyFill="1" applyBorder="1" applyAlignment="1">
      <alignment horizontal="center" vertical="center" wrapText="1" readingOrder="1"/>
    </xf>
    <xf numFmtId="9" fontId="38" fillId="25" borderId="33" xfId="0" applyNumberFormat="1" applyFont="1" applyFill="1" applyBorder="1" applyAlignment="1">
      <alignment horizontal="center" vertical="center" wrapText="1" readingOrder="1"/>
    </xf>
    <xf numFmtId="9" fontId="38" fillId="7" borderId="33" xfId="0" applyNumberFormat="1" applyFont="1" applyFill="1" applyBorder="1" applyAlignment="1">
      <alignment horizontal="center" vertical="center" wrapText="1" readingOrder="1"/>
    </xf>
    <xf numFmtId="9" fontId="38" fillId="26" borderId="42" xfId="0" applyNumberFormat="1" applyFont="1" applyFill="1" applyBorder="1" applyAlignment="1">
      <alignment horizontal="center" vertical="center" wrapText="1" readingOrder="1"/>
    </xf>
    <xf numFmtId="0" fontId="36" fillId="20" borderId="44" xfId="0" applyFont="1" applyFill="1" applyBorder="1" applyAlignment="1">
      <alignment horizontal="center" vertical="center" wrapText="1" readingOrder="1"/>
    </xf>
    <xf numFmtId="0" fontId="37" fillId="27" borderId="33" xfId="0" applyFont="1" applyFill="1" applyBorder="1" applyAlignment="1">
      <alignment horizontal="center" vertical="center" wrapText="1" readingOrder="1"/>
    </xf>
    <xf numFmtId="2" fontId="39" fillId="27" borderId="39" xfId="0" quotePrefix="1" applyNumberFormat="1" applyFont="1" applyFill="1" applyBorder="1" applyAlignment="1">
      <alignment horizontal="center" vertical="center" wrapText="1"/>
    </xf>
    <xf numFmtId="1" fontId="33" fillId="2" borderId="45" xfId="0" applyNumberFormat="1" applyFont="1" applyFill="1" applyBorder="1" applyAlignment="1">
      <alignment horizontal="center" vertical="center"/>
    </xf>
    <xf numFmtId="0" fontId="39" fillId="27" borderId="40" xfId="0" applyFont="1" applyFill="1" applyBorder="1" applyAlignment="1">
      <alignment horizontal="center" vertical="center" wrapText="1"/>
    </xf>
    <xf numFmtId="0" fontId="39" fillId="27" borderId="33" xfId="0" applyFont="1" applyFill="1" applyBorder="1" applyAlignment="1">
      <alignment horizontal="center" vertical="center" wrapText="1"/>
    </xf>
    <xf numFmtId="10" fontId="33" fillId="0" borderId="26" xfId="0" applyNumberFormat="1" applyFont="1" applyBorder="1"/>
    <xf numFmtId="0" fontId="39" fillId="27" borderId="39" xfId="0" applyFont="1" applyFill="1" applyBorder="1" applyAlignment="1">
      <alignment horizontal="center" vertical="center" wrapText="1"/>
    </xf>
    <xf numFmtId="1" fontId="37" fillId="27" borderId="33" xfId="0" applyNumberFormat="1" applyFont="1" applyFill="1" applyBorder="1" applyAlignment="1">
      <alignment horizontal="center" vertical="center" wrapText="1" readingOrder="1"/>
    </xf>
    <xf numFmtId="9" fontId="38" fillId="26" borderId="45" xfId="0" applyNumberFormat="1" applyFont="1" applyFill="1" applyBorder="1" applyAlignment="1">
      <alignment horizontal="center" vertical="center" wrapText="1" readingOrder="1"/>
    </xf>
    <xf numFmtId="0" fontId="31" fillId="0" borderId="35" xfId="0" applyFont="1" applyBorder="1" applyAlignment="1">
      <alignment vertical="top" readingOrder="1"/>
    </xf>
    <xf numFmtId="0" fontId="37" fillId="27" borderId="39" xfId="0" applyFont="1" applyFill="1" applyBorder="1" applyAlignment="1">
      <alignment horizontal="left" vertical="top" wrapText="1" readingOrder="1"/>
    </xf>
    <xf numFmtId="0" fontId="33" fillId="0" borderId="46" xfId="0" applyFont="1" applyBorder="1" applyAlignment="1">
      <alignment vertical="top" wrapText="1"/>
    </xf>
    <xf numFmtId="0" fontId="36" fillId="20" borderId="47" xfId="0" applyFont="1" applyFill="1" applyBorder="1" applyAlignment="1">
      <alignment horizontal="center" vertical="center" wrapText="1" readingOrder="1"/>
    </xf>
    <xf numFmtId="0" fontId="33" fillId="0" borderId="31" xfId="0" applyFont="1" applyBorder="1" applyAlignment="1">
      <alignment vertical="top" wrapText="1"/>
    </xf>
    <xf numFmtId="0" fontId="33" fillId="0" borderId="29" xfId="0" applyFont="1" applyBorder="1"/>
    <xf numFmtId="0" fontId="31" fillId="0" borderId="0" xfId="0" applyFont="1" applyAlignment="1">
      <alignment vertical="top" readingOrder="1"/>
    </xf>
    <xf numFmtId="0" fontId="37" fillId="27" borderId="42" xfId="0" applyFont="1" applyFill="1" applyBorder="1" applyAlignment="1">
      <alignment horizontal="left" vertical="top" wrapText="1" readingOrder="1"/>
    </xf>
    <xf numFmtId="0" fontId="38" fillId="28" borderId="48" xfId="0" applyFont="1" applyFill="1" applyBorder="1" applyAlignment="1">
      <alignment horizontal="center" vertical="center" wrapText="1" readingOrder="1"/>
    </xf>
    <xf numFmtId="0" fontId="38" fillId="28" borderId="0" xfId="0" applyFont="1" applyFill="1" applyAlignment="1">
      <alignment horizontal="center" vertical="center" wrapText="1" readingOrder="1"/>
    </xf>
    <xf numFmtId="0" fontId="24" fillId="11" borderId="9" xfId="0" applyFont="1" applyFill="1" applyBorder="1" applyAlignment="1">
      <alignment horizontal="center" vertical="center" wrapText="1"/>
    </xf>
    <xf numFmtId="0" fontId="37" fillId="27" borderId="40" xfId="0" applyFont="1" applyFill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/>
    </xf>
    <xf numFmtId="0" fontId="15" fillId="16" borderId="49" xfId="0" applyFont="1" applyFill="1" applyBorder="1" applyAlignment="1">
      <alignment horizontal="center" vertical="center" wrapText="1" readingOrder="1"/>
    </xf>
    <xf numFmtId="0" fontId="16" fillId="0" borderId="49" xfId="0" applyFont="1" applyBorder="1" applyAlignment="1">
      <alignment horizontal="left" vertical="center" wrapText="1" readingOrder="1"/>
    </xf>
    <xf numFmtId="0" fontId="16" fillId="0" borderId="8" xfId="0" applyFont="1" applyBorder="1" applyAlignment="1">
      <alignment horizontal="left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166" fontId="16" fillId="0" borderId="8" xfId="0" applyNumberFormat="1" applyFont="1" applyBorder="1" applyAlignment="1">
      <alignment horizontal="center" vertical="center" wrapText="1" readingOrder="1"/>
    </xf>
    <xf numFmtId="0" fontId="15" fillId="10" borderId="8" xfId="0" applyFont="1" applyFill="1" applyBorder="1" applyAlignment="1">
      <alignment horizontal="left" vertical="center" wrapText="1" readingOrder="1"/>
    </xf>
    <xf numFmtId="0" fontId="15" fillId="10" borderId="8" xfId="0" applyFont="1" applyFill="1" applyBorder="1" applyAlignment="1">
      <alignment horizontal="center" vertical="center" wrapText="1" readingOrder="1"/>
    </xf>
    <xf numFmtId="166" fontId="15" fillId="4" borderId="8" xfId="0" applyNumberFormat="1" applyFont="1" applyFill="1" applyBorder="1" applyAlignment="1">
      <alignment horizontal="center" vertical="center" wrapText="1" readingOrder="1"/>
    </xf>
    <xf numFmtId="166" fontId="42" fillId="0" borderId="8" xfId="0" applyNumberFormat="1" applyFont="1" applyBorder="1" applyAlignment="1">
      <alignment horizontal="center" vertical="center"/>
    </xf>
    <xf numFmtId="166" fontId="43" fillId="3" borderId="8" xfId="0" applyNumberFormat="1" applyFont="1" applyFill="1" applyBorder="1" applyAlignment="1">
      <alignment horizontal="center" vertical="center"/>
    </xf>
    <xf numFmtId="0" fontId="17" fillId="0" borderId="49" xfId="0" applyFont="1" applyBorder="1" applyAlignment="1">
      <alignment horizontal="left" vertical="center" wrapText="1"/>
    </xf>
    <xf numFmtId="0" fontId="16" fillId="12" borderId="8" xfId="0" applyFont="1" applyFill="1" applyBorder="1" applyAlignment="1">
      <alignment horizontal="left" vertical="center" wrapText="1" readingOrder="1"/>
    </xf>
    <xf numFmtId="0" fontId="16" fillId="12" borderId="8" xfId="0" applyFont="1" applyFill="1" applyBorder="1" applyAlignment="1">
      <alignment horizontal="center" vertical="center" wrapText="1" readingOrder="1"/>
    </xf>
    <xf numFmtId="166" fontId="43" fillId="0" borderId="8" xfId="0" applyNumberFormat="1" applyFont="1" applyBorder="1" applyAlignment="1">
      <alignment horizontal="center" vertical="center"/>
    </xf>
    <xf numFmtId="166" fontId="43" fillId="2" borderId="8" xfId="0" applyNumberFormat="1" applyFont="1" applyFill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 wrapText="1" readingOrder="1"/>
    </xf>
    <xf numFmtId="166" fontId="43" fillId="11" borderId="8" xfId="0" applyNumberFormat="1" applyFont="1" applyFill="1" applyBorder="1" applyAlignment="1">
      <alignment horizontal="center" vertical="center"/>
    </xf>
    <xf numFmtId="0" fontId="15" fillId="10" borderId="50" xfId="0" applyFont="1" applyFill="1" applyBorder="1" applyAlignment="1">
      <alignment horizontal="left" vertical="center" wrapText="1" readingOrder="1"/>
    </xf>
    <xf numFmtId="0" fontId="15" fillId="10" borderId="50" xfId="0" applyFont="1" applyFill="1" applyBorder="1" applyAlignment="1">
      <alignment horizontal="center" vertical="center" wrapText="1" readingOrder="1"/>
    </xf>
    <xf numFmtId="166" fontId="15" fillId="4" borderId="50" xfId="0" applyNumberFormat="1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horizontal="center" vertical="center"/>
    </xf>
    <xf numFmtId="0" fontId="24" fillId="14" borderId="9" xfId="0" applyFont="1" applyFill="1" applyBorder="1" applyAlignment="1">
      <alignment horizontal="center" vertical="center" wrapText="1"/>
    </xf>
    <xf numFmtId="0" fontId="24" fillId="14" borderId="5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top" wrapText="1" readingOrder="1"/>
    </xf>
    <xf numFmtId="0" fontId="8" fillId="0" borderId="8" xfId="0" applyFont="1" applyBorder="1" applyAlignment="1">
      <alignment horizontal="center" vertical="top"/>
    </xf>
    <xf numFmtId="166" fontId="12" fillId="11" borderId="8" xfId="0" applyNumberFormat="1" applyFont="1" applyFill="1" applyBorder="1" applyAlignment="1">
      <alignment horizontal="center" vertical="center"/>
    </xf>
    <xf numFmtId="166" fontId="12" fillId="29" borderId="8" xfId="0" applyNumberFormat="1" applyFont="1" applyFill="1" applyBorder="1" applyAlignment="1">
      <alignment vertical="top"/>
    </xf>
    <xf numFmtId="0" fontId="29" fillId="0" borderId="8" xfId="0" applyFont="1" applyBorder="1" applyAlignment="1">
      <alignment horizontal="center" vertical="top"/>
    </xf>
    <xf numFmtId="0" fontId="15" fillId="0" borderId="8" xfId="0" applyFont="1" applyBorder="1" applyAlignment="1">
      <alignment horizontal="left" vertical="center" wrapText="1" readingOrder="1"/>
    </xf>
    <xf numFmtId="166" fontId="12" fillId="11" borderId="8" xfId="0" applyNumberFormat="1" applyFont="1" applyFill="1" applyBorder="1" applyAlignment="1">
      <alignment horizontal="center" vertical="top"/>
    </xf>
    <xf numFmtId="166" fontId="12" fillId="29" borderId="8" xfId="0" applyNumberFormat="1" applyFont="1" applyFill="1" applyBorder="1" applyAlignment="1">
      <alignment horizontal="center" vertical="top"/>
    </xf>
    <xf numFmtId="166" fontId="44" fillId="0" borderId="8" xfId="0" applyNumberFormat="1" applyFont="1" applyBorder="1" applyAlignment="1">
      <alignment horizontal="center" vertical="center" wrapText="1" readingOrder="1"/>
    </xf>
    <xf numFmtId="166" fontId="45" fillId="0" borderId="8" xfId="0" applyNumberFormat="1" applyFont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 wrapText="1" readingOrder="1"/>
    </xf>
    <xf numFmtId="166" fontId="15" fillId="11" borderId="8" xfId="0" applyNumberFormat="1" applyFont="1" applyFill="1" applyBorder="1" applyAlignment="1">
      <alignment horizontal="center" vertical="center" wrapText="1" readingOrder="1"/>
    </xf>
    <xf numFmtId="0" fontId="25" fillId="2" borderId="1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top"/>
    </xf>
    <xf numFmtId="9" fontId="12" fillId="2" borderId="8" xfId="0" applyNumberFormat="1" applyFont="1" applyFill="1" applyBorder="1" applyAlignment="1">
      <alignment horizontal="center" vertical="center"/>
    </xf>
    <xf numFmtId="0" fontId="47" fillId="0" borderId="8" xfId="0" applyFont="1" applyBorder="1" applyAlignment="1">
      <alignment horizontal="left" vertical="center" wrapText="1" readingOrder="1"/>
    </xf>
    <xf numFmtId="0" fontId="47" fillId="12" borderId="8" xfId="0" applyFont="1" applyFill="1" applyBorder="1" applyAlignment="1">
      <alignment horizontal="left" vertical="center" wrapText="1" readingOrder="1"/>
    </xf>
    <xf numFmtId="0" fontId="25" fillId="30" borderId="8" xfId="0" applyFont="1" applyFill="1" applyBorder="1" applyAlignment="1">
      <alignment horizontal="left" vertical="top" wrapText="1"/>
    </xf>
    <xf numFmtId="0" fontId="25" fillId="31" borderId="8" xfId="0" applyFont="1" applyFill="1" applyBorder="1" applyAlignment="1">
      <alignment horizontal="left" vertical="top" wrapText="1"/>
    </xf>
    <xf numFmtId="0" fontId="24" fillId="14" borderId="5" xfId="0" applyFont="1" applyFill="1" applyBorder="1" applyAlignment="1">
      <alignment horizontal="center" vertical="center"/>
    </xf>
    <xf numFmtId="166" fontId="12" fillId="29" borderId="0" xfId="0" applyNumberFormat="1" applyFont="1" applyFill="1" applyAlignment="1">
      <alignment horizontal="center" vertical="top"/>
    </xf>
    <xf numFmtId="1" fontId="12" fillId="2" borderId="1" xfId="0" applyNumberFormat="1" applyFont="1" applyFill="1" applyBorder="1" applyAlignment="1">
      <alignment horizontal="center" vertical="top"/>
    </xf>
    <xf numFmtId="166" fontId="17" fillId="0" borderId="8" xfId="0" applyNumberFormat="1" applyFont="1" applyBorder="1" applyAlignment="1">
      <alignment horizontal="center" vertical="center" wrapText="1" readingOrder="1"/>
    </xf>
    <xf numFmtId="0" fontId="25" fillId="0" borderId="0" xfId="0" applyFont="1" applyAlignment="1">
      <alignment vertical="top" wrapText="1"/>
    </xf>
    <xf numFmtId="0" fontId="12" fillId="0" borderId="8" xfId="0" applyFont="1" applyBorder="1" applyAlignment="1">
      <alignment horizontal="left" vertical="top"/>
    </xf>
    <xf numFmtId="0" fontId="25" fillId="0" borderId="8" xfId="0" applyFont="1" applyBorder="1" applyAlignment="1">
      <alignment vertical="top" wrapText="1"/>
    </xf>
    <xf numFmtId="0" fontId="24" fillId="32" borderId="7" xfId="0" applyFont="1" applyFill="1" applyBorder="1" applyAlignment="1">
      <alignment horizontal="center" vertical="center" wrapText="1"/>
    </xf>
    <xf numFmtId="0" fontId="21" fillId="14" borderId="8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top" wrapText="1"/>
    </xf>
    <xf numFmtId="0" fontId="25" fillId="2" borderId="1" xfId="0" quotePrefix="1" applyFont="1" applyFill="1" applyBorder="1" applyAlignment="1">
      <alignment horizontal="left" vertical="top" wrapText="1"/>
    </xf>
    <xf numFmtId="1" fontId="12" fillId="2" borderId="7" xfId="0" applyNumberFormat="1" applyFont="1" applyFill="1" applyBorder="1" applyAlignment="1">
      <alignment horizontal="center" vertical="top"/>
    </xf>
    <xf numFmtId="1" fontId="25" fillId="2" borderId="7" xfId="0" applyNumberFormat="1" applyFont="1" applyFill="1" applyBorder="1" applyAlignment="1">
      <alignment horizontal="center" vertical="top"/>
    </xf>
    <xf numFmtId="0" fontId="27" fillId="2" borderId="1" xfId="0" applyFont="1" applyFill="1" applyBorder="1" applyAlignment="1">
      <alignment horizontal="left" vertical="top" wrapText="1"/>
    </xf>
    <xf numFmtId="1" fontId="25" fillId="2" borderId="0" xfId="0" applyNumberFormat="1" applyFont="1" applyFill="1" applyAlignment="1">
      <alignment horizontal="center" vertical="top"/>
    </xf>
    <xf numFmtId="0" fontId="12" fillId="2" borderId="1" xfId="0" applyFont="1" applyFill="1" applyBorder="1" applyAlignment="1">
      <alignment horizontal="left" vertical="top" wrapText="1"/>
    </xf>
    <xf numFmtId="0" fontId="27" fillId="2" borderId="12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/>
    </xf>
    <xf numFmtId="0" fontId="25" fillId="2" borderId="9" xfId="0" applyFont="1" applyFill="1" applyBorder="1" applyAlignment="1">
      <alignment horizontal="center" vertical="top"/>
    </xf>
    <xf numFmtId="0" fontId="12" fillId="2" borderId="9" xfId="0" applyFont="1" applyFill="1" applyBorder="1" applyAlignment="1">
      <alignment horizontal="center" vertical="top"/>
    </xf>
    <xf numFmtId="1" fontId="12" fillId="2" borderId="9" xfId="0" applyNumberFormat="1" applyFont="1" applyFill="1" applyBorder="1" applyAlignment="1">
      <alignment horizontal="center" vertical="top"/>
    </xf>
    <xf numFmtId="1" fontId="12" fillId="2" borderId="5" xfId="0" applyNumberFormat="1" applyFont="1" applyFill="1" applyBorder="1" applyAlignment="1">
      <alignment horizontal="center" vertical="top"/>
    </xf>
    <xf numFmtId="0" fontId="25" fillId="2" borderId="8" xfId="0" quotePrefix="1" applyFont="1" applyFill="1" applyBorder="1" applyAlignment="1">
      <alignment vertical="center" wrapText="1"/>
    </xf>
    <xf numFmtId="9" fontId="25" fillId="2" borderId="2" xfId="0" applyNumberFormat="1" applyFont="1" applyFill="1" applyBorder="1" applyAlignment="1">
      <alignment horizontal="center" vertical="top"/>
    </xf>
    <xf numFmtId="0" fontId="25" fillId="2" borderId="1" xfId="0" quotePrefix="1" applyFont="1" applyFill="1" applyBorder="1" applyAlignment="1">
      <alignment vertical="center" wrapText="1"/>
    </xf>
    <xf numFmtId="1" fontId="12" fillId="2" borderId="8" xfId="0" applyNumberFormat="1" applyFont="1" applyFill="1" applyBorder="1" applyAlignment="1">
      <alignment horizontal="left" vertical="top" wrapText="1"/>
    </xf>
    <xf numFmtId="9" fontId="25" fillId="2" borderId="14" xfId="0" applyNumberFormat="1" applyFont="1" applyFill="1" applyBorder="1" applyAlignment="1">
      <alignment horizontal="center" vertical="top"/>
    </xf>
    <xf numFmtId="0" fontId="50" fillId="2" borderId="8" xfId="0" quotePrefix="1" applyFont="1" applyFill="1" applyBorder="1" applyAlignment="1">
      <alignment vertical="top" wrapText="1"/>
    </xf>
    <xf numFmtId="9" fontId="25" fillId="2" borderId="7" xfId="0" applyNumberFormat="1" applyFont="1" applyFill="1" applyBorder="1" applyAlignment="1">
      <alignment horizontal="center" vertical="top"/>
    </xf>
    <xf numFmtId="1" fontId="12" fillId="2" borderId="14" xfId="0" applyNumberFormat="1" applyFont="1" applyFill="1" applyBorder="1" applyAlignment="1">
      <alignment horizontal="center" vertical="top"/>
    </xf>
    <xf numFmtId="9" fontId="25" fillId="2" borderId="8" xfId="0" applyNumberFormat="1" applyFont="1" applyFill="1" applyBorder="1" applyAlignment="1">
      <alignment horizontal="center" vertical="top" wrapText="1"/>
    </xf>
    <xf numFmtId="9" fontId="25" fillId="2" borderId="1" xfId="0" applyNumberFormat="1" applyFont="1" applyFill="1" applyBorder="1" applyAlignment="1">
      <alignment horizontal="center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1" fontId="24" fillId="19" borderId="0" xfId="0" applyNumberFormat="1" applyFont="1" applyFill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top"/>
    </xf>
    <xf numFmtId="9" fontId="25" fillId="5" borderId="1" xfId="0" applyNumberFormat="1" applyFont="1" applyFill="1" applyBorder="1" applyAlignment="1">
      <alignment horizontal="center" vertical="top"/>
    </xf>
    <xf numFmtId="1" fontId="25" fillId="5" borderId="1" xfId="0" applyNumberFormat="1" applyFont="1" applyFill="1" applyBorder="1" applyAlignment="1">
      <alignment horizontal="center" vertical="top"/>
    </xf>
    <xf numFmtId="1" fontId="25" fillId="11" borderId="11" xfId="0" applyNumberFormat="1" applyFont="1" applyFill="1" applyBorder="1" applyAlignment="1">
      <alignment horizontal="center" vertical="top"/>
    </xf>
    <xf numFmtId="1" fontId="49" fillId="11" borderId="11" xfId="0" applyNumberFormat="1" applyFont="1" applyFill="1" applyBorder="1" applyAlignment="1">
      <alignment horizontal="center" vertical="center"/>
    </xf>
    <xf numFmtId="9" fontId="25" fillId="2" borderId="1" xfId="0" applyNumberFormat="1" applyFont="1" applyFill="1" applyBorder="1" applyAlignment="1">
      <alignment horizontal="center" vertical="top"/>
    </xf>
    <xf numFmtId="1" fontId="25" fillId="2" borderId="1" xfId="0" applyNumberFormat="1" applyFont="1" applyFill="1" applyBorder="1" applyAlignment="1">
      <alignment horizontal="center" vertical="top"/>
    </xf>
    <xf numFmtId="1" fontId="25" fillId="2" borderId="11" xfId="0" applyNumberFormat="1" applyFont="1" applyFill="1" applyBorder="1" applyAlignment="1">
      <alignment horizontal="center" vertical="top"/>
    </xf>
    <xf numFmtId="1" fontId="12" fillId="2" borderId="11" xfId="0" applyNumberFormat="1" applyFont="1" applyFill="1" applyBorder="1" applyAlignment="1">
      <alignment horizontal="center" vertical="top"/>
    </xf>
    <xf numFmtId="9" fontId="27" fillId="2" borderId="1" xfId="0" applyNumberFormat="1" applyFont="1" applyFill="1" applyBorder="1" applyAlignment="1">
      <alignment horizontal="center" vertical="top"/>
    </xf>
    <xf numFmtId="9" fontId="25" fillId="2" borderId="11" xfId="0" quotePrefix="1" applyNumberFormat="1" applyFont="1" applyFill="1" applyBorder="1" applyAlignment="1">
      <alignment horizontal="center" vertical="top" wrapText="1"/>
    </xf>
    <xf numFmtId="9" fontId="25" fillId="2" borderId="51" xfId="0" applyNumberFormat="1" applyFont="1" applyFill="1" applyBorder="1" applyAlignment="1">
      <alignment horizontal="center" vertical="top"/>
    </xf>
    <xf numFmtId="1" fontId="25" fillId="2" borderId="12" xfId="0" applyNumberFormat="1" applyFont="1" applyFill="1" applyBorder="1" applyAlignment="1">
      <alignment horizontal="center" vertical="top"/>
    </xf>
    <xf numFmtId="0" fontId="25" fillId="0" borderId="7" xfId="0" applyFont="1" applyBorder="1" applyAlignment="1">
      <alignment vertical="top" wrapText="1"/>
    </xf>
    <xf numFmtId="0" fontId="25" fillId="2" borderId="7" xfId="0" applyFont="1" applyFill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4" fillId="2" borderId="1" xfId="0" applyFont="1" applyFill="1" applyBorder="1" applyAlignment="1">
      <alignment horizontal="center" vertical="top" wrapText="1"/>
    </xf>
    <xf numFmtId="0" fontId="22" fillId="2" borderId="16" xfId="0" applyFont="1" applyFill="1" applyBorder="1" applyAlignment="1">
      <alignment horizontal="center" vertical="center" wrapText="1" readingOrder="1"/>
    </xf>
    <xf numFmtId="0" fontId="22" fillId="2" borderId="17" xfId="0" applyFont="1" applyFill="1" applyBorder="1" applyAlignment="1">
      <alignment horizontal="center" vertical="center" wrapText="1" readingOrder="1"/>
    </xf>
    <xf numFmtId="0" fontId="22" fillId="2" borderId="18" xfId="0" applyFont="1" applyFill="1" applyBorder="1" applyAlignment="1">
      <alignment horizontal="center" vertical="center" wrapText="1" readingOrder="1"/>
    </xf>
    <xf numFmtId="0" fontId="23" fillId="0" borderId="2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3" fillId="0" borderId="27" xfId="0" applyFont="1" applyBorder="1" applyAlignment="1">
      <alignment horizontal="left" vertical="top" wrapText="1"/>
    </xf>
    <xf numFmtId="0" fontId="33" fillId="0" borderId="28" xfId="0" applyFont="1" applyBorder="1" applyAlignment="1">
      <alignment horizontal="left" vertical="top" wrapText="1"/>
    </xf>
    <xf numFmtId="0" fontId="33" fillId="0" borderId="29" xfId="0" applyFont="1" applyBorder="1" applyAlignment="1">
      <alignment horizontal="left" vertical="top" wrapText="1"/>
    </xf>
    <xf numFmtId="0" fontId="33" fillId="0" borderId="30" xfId="0" applyFont="1" applyBorder="1" applyAlignment="1">
      <alignment horizontal="left" vertical="top" wrapText="1"/>
    </xf>
    <xf numFmtId="0" fontId="38" fillId="26" borderId="43" xfId="0" applyFont="1" applyFill="1" applyBorder="1" applyAlignment="1">
      <alignment horizontal="center" vertical="center" wrapText="1" readingOrder="1"/>
    </xf>
    <xf numFmtId="0" fontId="38" fillId="26" borderId="41" xfId="0" applyFont="1" applyFill="1" applyBorder="1" applyAlignment="1">
      <alignment horizontal="center" vertical="center" wrapText="1" readingOrder="1"/>
    </xf>
    <xf numFmtId="0" fontId="38" fillId="7" borderId="39" xfId="0" applyFont="1" applyFill="1" applyBorder="1" applyAlignment="1">
      <alignment horizontal="center" vertical="center" wrapText="1" readingOrder="1"/>
    </xf>
    <xf numFmtId="0" fontId="38" fillId="7" borderId="40" xfId="0" applyFont="1" applyFill="1" applyBorder="1" applyAlignment="1">
      <alignment horizontal="center" vertical="center" wrapText="1" readingOrder="1"/>
    </xf>
    <xf numFmtId="0" fontId="38" fillId="25" borderId="39" xfId="0" applyFont="1" applyFill="1" applyBorder="1" applyAlignment="1">
      <alignment horizontal="center" vertical="center" wrapText="1" readingOrder="1"/>
    </xf>
    <xf numFmtId="0" fontId="38" fillId="25" borderId="40" xfId="0" applyFont="1" applyFill="1" applyBorder="1" applyAlignment="1">
      <alignment horizontal="center" vertical="center" wrapText="1" readingOrder="1"/>
    </xf>
    <xf numFmtId="0" fontId="38" fillId="11" borderId="39" xfId="0" applyFont="1" applyFill="1" applyBorder="1" applyAlignment="1">
      <alignment horizontal="center" vertical="center" wrapText="1" readingOrder="1"/>
    </xf>
    <xf numFmtId="0" fontId="38" fillId="11" borderId="40" xfId="0" applyFont="1" applyFill="1" applyBorder="1" applyAlignment="1">
      <alignment horizontal="center" vertical="center" wrapText="1" readingOrder="1"/>
    </xf>
    <xf numFmtId="0" fontId="38" fillId="23" borderId="39" xfId="0" applyFont="1" applyFill="1" applyBorder="1" applyAlignment="1">
      <alignment horizontal="center" vertical="center" wrapText="1" readingOrder="1"/>
    </xf>
    <xf numFmtId="0" fontId="38" fillId="23" borderId="40" xfId="0" applyFont="1" applyFill="1" applyBorder="1" applyAlignment="1">
      <alignment horizontal="center" vertical="center" wrapText="1" readingOrder="1"/>
    </xf>
    <xf numFmtId="0" fontId="38" fillId="24" borderId="39" xfId="0" applyFont="1" applyFill="1" applyBorder="1" applyAlignment="1">
      <alignment horizontal="center" vertical="center" wrapText="1" readingOrder="1"/>
    </xf>
    <xf numFmtId="0" fontId="38" fillId="24" borderId="40" xfId="0" applyFont="1" applyFill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8" fillId="0" borderId="13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  <border>
        <vertical/>
        <horizontal/>
      </border>
    </dxf>
    <dxf>
      <fill>
        <patternFill>
          <bgColor rgb="FFCCFF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CCCC"/>
      <color rgb="FF0000FF"/>
      <color rgb="FFECECEC"/>
      <color rgb="FFFF7C80"/>
      <color rgb="FF0A9ECC"/>
      <color rgb="FFFF9933"/>
      <color rgb="FFE7FFFF"/>
      <color rgb="FFCCFF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526722193791896E-2"/>
          <c:y val="0.16672790380678915"/>
          <c:w val="0.88597013828173721"/>
          <c:h val="0.666458379198733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'ประมาณการคะแนน หัวข้อ RM&amp;IC'!$D$30</c:f>
              <c:strCache>
                <c:ptCount val="1"/>
                <c:pt idx="0">
                  <c:v>ประมาณการคะแนน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'ประมาณการคะแนน หัวข้อ RM&amp;IC'!$M$2:$P$2</c:f>
              <c:strCache>
                <c:ptCount val="4"/>
                <c:pt idx="0">
                  <c:v>คะแนน สคร.  ปี 2567</c:v>
                </c:pt>
                <c:pt idx="1">
                  <c:v>คะแนน สคร.
ปี 2568</c:v>
                </c:pt>
                <c:pt idx="2">
                  <c:v>2569</c:v>
                </c:pt>
                <c:pt idx="3">
                  <c:v>2570</c:v>
                </c:pt>
              </c:strCache>
            </c:strRef>
          </c:cat>
          <c:val>
            <c:numRef>
              <c:f>'ประมาณการคะแนน หัวข้อ RM&amp;IC'!$M$30:$P$30</c:f>
              <c:numCache>
                <c:formatCode>0.0000</c:formatCode>
                <c:ptCount val="4"/>
                <c:pt idx="0">
                  <c:v>3.37</c:v>
                </c:pt>
                <c:pt idx="1">
                  <c:v>3.7224699999999999</c:v>
                </c:pt>
                <c:pt idx="2">
                  <c:v>0</c:v>
                </c:pt>
                <c:pt idx="3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A-47DB-B8D5-757518B157E8}"/>
            </c:ext>
          </c:extLst>
        </c:ser>
        <c:ser>
          <c:idx val="3"/>
          <c:order val="1"/>
          <c:tx>
            <c:strRef>
              <c:f>'ประมาณการคะแนน หัวข้อ RM&amp;IC'!$H$32</c:f>
              <c:strCache>
                <c:ptCount val="1"/>
                <c:pt idx="0">
                  <c:v>เป้าหมายของคะแนน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'ประมาณการคะแนน หัวข้อ RM&amp;IC'!$M$2:$P$2</c:f>
              <c:strCache>
                <c:ptCount val="4"/>
                <c:pt idx="0">
                  <c:v>คะแนน สคร.  ปี 2567</c:v>
                </c:pt>
                <c:pt idx="1">
                  <c:v>คะแนน สคร.
ปี 2568</c:v>
                </c:pt>
                <c:pt idx="2">
                  <c:v>2569</c:v>
                </c:pt>
                <c:pt idx="3">
                  <c:v>2570</c:v>
                </c:pt>
              </c:strCache>
            </c:strRef>
          </c:cat>
          <c:val>
            <c:numRef>
              <c:f>'ประมาณการคะแนน หัวข้อ RM&amp;IC'!$M$32:$P$32</c:f>
              <c:numCache>
                <c:formatCode>0.0000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4.25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A-47DB-B8D5-757518B15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4"/>
        <c:axId val="726393840"/>
        <c:axId val="726392176"/>
      </c:barChart>
      <c:catAx>
        <c:axId val="72639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th-TH"/>
          </a:p>
        </c:txPr>
        <c:crossAx val="726392176"/>
        <c:crosses val="autoZero"/>
        <c:auto val="1"/>
        <c:lblAlgn val="ctr"/>
        <c:lblOffset val="100"/>
        <c:noMultiLvlLbl val="0"/>
      </c:catAx>
      <c:valAx>
        <c:axId val="726392176"/>
        <c:scaling>
          <c:orientation val="minMax"/>
          <c:max val="5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th-TH"/>
          </a:p>
        </c:txPr>
        <c:crossAx val="7263938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121920</xdr:colOff>
      <xdr:row>2</xdr:row>
      <xdr:rowOff>38100</xdr:rowOff>
    </xdr:from>
    <xdr:to>
      <xdr:col>28</xdr:col>
      <xdr:colOff>487680</xdr:colOff>
      <xdr:row>6</xdr:row>
      <xdr:rowOff>342900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452080" y="739140"/>
          <a:ext cx="1706880" cy="170688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28</xdr:col>
      <xdr:colOff>640080</xdr:colOff>
      <xdr:row>2</xdr:row>
      <xdr:rowOff>83820</xdr:rowOff>
    </xdr:from>
    <xdr:to>
      <xdr:col>31</xdr:col>
      <xdr:colOff>335280</xdr:colOff>
      <xdr:row>7</xdr:row>
      <xdr:rowOff>38100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2311360" y="784860"/>
          <a:ext cx="1706880" cy="1706880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13608</xdr:colOff>
      <xdr:row>35</xdr:row>
      <xdr:rowOff>99484</xdr:rowOff>
    </xdr:from>
    <xdr:to>
      <xdr:col>16</xdr:col>
      <xdr:colOff>3174</xdr:colOff>
      <xdr:row>65</xdr:row>
      <xdr:rowOff>126698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779E444-6301-4A2F-B52A-B268EC6D5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243417</xdr:colOff>
      <xdr:row>0</xdr:row>
      <xdr:rowOff>0</xdr:rowOff>
    </xdr:from>
    <xdr:to>
      <xdr:col>16</xdr:col>
      <xdr:colOff>530225</xdr:colOff>
      <xdr:row>0</xdr:row>
      <xdr:rowOff>457200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3538C4-2C61-4DDB-A962-307261EA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0377" y="0"/>
          <a:ext cx="3907578" cy="457200"/>
        </a:xfrm>
        <a:prstGeom prst="rect">
          <a:avLst/>
        </a:prstGeom>
      </xdr:spPr>
    </xdr:pic>
    <xdr:clientData/>
  </xdr:twoCellAnchor>
  <xdr:twoCellAnchor editAs="oneCell">
    <xdr:from>
      <xdr:col>16</xdr:col>
      <xdr:colOff>550225</xdr:colOff>
      <xdr:row>1</xdr:row>
      <xdr:rowOff>111379</xdr:rowOff>
    </xdr:from>
    <xdr:to>
      <xdr:col>28</xdr:col>
      <xdr:colOff>593443</xdr:colOff>
      <xdr:row>19</xdr:row>
      <xdr:rowOff>122902</xdr:rowOff>
    </xdr:to>
    <xdr:pic>
      <xdr:nvPicPr>
        <xdr:cNvPr id="34" name="Picture 3">
          <a:extLst>
            <a:ext uri="{FF2B5EF4-FFF2-40B4-BE49-F238E27FC236}">
              <a16:creationId xmlns:a16="http://schemas.microsoft.com/office/drawing/2014/main" id="{E2941DE6-97AD-05A0-EC4A-5D936A06F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17589" y="642470"/>
          <a:ext cx="8476018" cy="8012523"/>
        </a:xfrm>
        <a:prstGeom prst="rect">
          <a:avLst/>
        </a:prstGeom>
      </xdr:spPr>
    </xdr:pic>
    <xdr:clientData/>
  </xdr:twoCellAnchor>
  <xdr:twoCellAnchor editAs="oneCell">
    <xdr:from>
      <xdr:col>17</xdr:col>
      <xdr:colOff>277090</xdr:colOff>
      <xdr:row>0</xdr:row>
      <xdr:rowOff>111877</xdr:rowOff>
    </xdr:from>
    <xdr:to>
      <xdr:col>37</xdr:col>
      <xdr:colOff>524525</xdr:colOff>
      <xdr:row>18</xdr:row>
      <xdr:rowOff>283678</xdr:rowOff>
    </xdr:to>
    <xdr:pic>
      <xdr:nvPicPr>
        <xdr:cNvPr id="46" name="Picture 7">
          <a:extLst>
            <a:ext uri="{FF2B5EF4-FFF2-40B4-BE49-F238E27FC236}">
              <a16:creationId xmlns:a16="http://schemas.microsoft.com/office/drawing/2014/main" id="{2A83BEAD-96D6-8D4E-C83D-C577EA997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1988" t="22715" r="7219" b="13943"/>
        <a:stretch/>
      </xdr:blipFill>
      <xdr:spPr>
        <a:xfrm>
          <a:off x="16902545" y="111877"/>
          <a:ext cx="14192035" cy="8033101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0.25528</cdr:x>
      <cdr:y>0.03569</cdr:y>
    </cdr:from>
    <cdr:to>
      <cdr:x>0.76991</cdr:x>
      <cdr:y>0.10198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41FE74-05F7-4B7C-80D0-42DEE87E5C1B}"/>
            </a:ext>
          </a:extLst>
        </cdr:cNvPr>
        <cdr:cNvSpPr txBox="1"/>
      </cdr:nvSpPr>
      <cdr:spPr>
        <a:xfrm xmlns:a="http://schemas.openxmlformats.org/drawingml/2006/main">
          <a:off x="3200853" y="190500"/>
          <a:ext cx="6452732" cy="353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การแสดงผลคะแนนจากการคัดเลือกแผนปรับปรุง </a:t>
          </a:r>
          <a:r>
            <a:rPr lang="en-US" sz="1600" b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OFI</a:t>
          </a:r>
          <a:endParaRPr lang="th-TH" sz="16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 xmlns:a="http://schemas.openxmlformats.org/drawingml/2006/main">
          <a:endParaRPr lang="th-TH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512445</xdr:colOff>
      <xdr:row>0</xdr:row>
      <xdr:rowOff>40005</xdr:rowOff>
    </xdr:from>
    <xdr:to>
      <xdr:col>1</xdr:col>
      <xdr:colOff>1196340</xdr:colOff>
      <xdr:row>0</xdr:row>
      <xdr:rowOff>398145</xdr:rowOff>
    </xdr:to>
    <xdr:sp macro="" textlink="">
      <xdr:nvSpPr>
        <xdr:cNvPr id="2" name="Callout: Double Bent Line with No Border 1">
          <a:extLst>
            <a:ext uri="{FF2B5EF4-FFF2-40B4-BE49-F238E27FC236}">
              <a16:creationId xmlns:a16="http://schemas.microsoft.com/office/drawing/2014/main" id="{516EC719-810F-4604-AA76-9D1952AEE20A}"/>
            </a:ext>
          </a:extLst>
        </xdr:cNvPr>
        <xdr:cNvSpPr/>
      </xdr:nvSpPr>
      <xdr:spPr>
        <a:xfrm>
          <a:off x="512445" y="40005"/>
          <a:ext cx="1531620" cy="358140"/>
        </a:xfrm>
        <a:prstGeom prst="callout3">
          <a:avLst>
            <a:gd name="adj1" fmla="val 18750"/>
            <a:gd name="adj2" fmla="val -8333"/>
            <a:gd name="adj3" fmla="val 18750"/>
            <a:gd name="adj4" fmla="val -16667"/>
            <a:gd name="adj5" fmla="val 100000"/>
            <a:gd name="adj6" fmla="val -16667"/>
            <a:gd name="adj7" fmla="val 152343"/>
            <a:gd name="adj8" fmla="val -16597"/>
          </a:avLst>
        </a:prstGeom>
        <a:solidFill>
          <a:srgbClr val="FFFF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Click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th-TH" sz="1100" baseline="0">
              <a:solidFill>
                <a:sysClr val="windowText" lastClr="000000"/>
              </a:solidFill>
            </a:rPr>
            <a:t>เพื่อไปยังแผนงาน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ttgrp-fs01/NASDATA/570004/Desktop/Copy%20of%202563%2003%2031_PIMS%20Action%20Plan%202563_Final.xlsx" TargetMode="External"/><Relationship Id="rId1" Type="http://schemas.openxmlformats.org/officeDocument/2006/relationships/externalLinkPath" Target="/pttgrp-fs01/NASDATA/570004/Desktop/Copy%20of%202563%2003%2031_PIMS%20Action%20Plan%202563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570004/Desktop/PIMS/Action%20Plan/2.1_PIMS_ActionaPlan2021.xlsx" TargetMode="External"/><Relationship Id="rId1" Type="http://schemas.openxmlformats.org/officeDocument/2006/relationships/externalLinkPath" Target="/570004/Desktop/PIMS/Action%20Plan/2.1_PIMS_ActionaPlan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ample"/>
      <sheetName val="Bar Graph"/>
      <sheetName val="Plan 1"/>
      <sheetName val="Plan 2"/>
      <sheetName val="Plan 3"/>
      <sheetName val="Plan 4"/>
      <sheetName val="Plan 5"/>
      <sheetName val="Plan 6"/>
      <sheetName val="Plan 7"/>
      <sheetName val="Filter_U"/>
      <sheetName val="Utilization Data"/>
      <sheetName val="Conclude Utilization"/>
      <sheetName val="Data_1"/>
      <sheetName val="Data_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r Graph"/>
      <sheetName val="Plan 1"/>
      <sheetName val="Plan 2"/>
      <sheetName val="Plan 3"/>
      <sheetName val="Plan 4"/>
      <sheetName val="Plan 5"/>
      <sheetName val="Plan 6"/>
      <sheetName val="Plan 7"/>
      <sheetName val="Plan 8"/>
      <sheetName val="Plan 9"/>
      <sheetName val="Plan 10"/>
      <sheetName val="Plan 11"/>
      <sheetName val="Plan 12"/>
      <sheetName val="Plan 13"/>
      <sheetName val="Plan 14"/>
      <sheetName val="Plan 15"/>
      <sheetName val="Data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ALAIPORN SIRIRATWATTHANA" id="{2818CD27-7903-4F6F-BC0B-3E70A7770317}" userId="S::530198@pttplc.com::d0c03d20-493b-4738-9f2a-ea438d40b604" providerId="AD"/>
</personList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6-19T06:03:41.18" personId="{2818CD27-7903-4F6F-BC0B-3E70A7770317}" id="{E047DD73-F312-41FC-BEB1-FBB9E26C1431}">
    <text>เน้นใส่เฉพาะที่เกี่ยวกับการแก้ OFI นั้นๆ เท่านั้น (ไม่ต้องใส่ที่เกี่ยวกับการทำ report หรือ Implement ใดๆ)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6"/>
  <sheetViews>
    <sheetView topLeftCell="B1" zoomScale="50" zoomScaleNormal="50" workbookViewId="0">
      <selection activeCell="AB11" sqref="AB11"/>
    </sheetView>
  </sheetViews>
  <sheetFormatPr defaultColWidth="8.75" defaultRowHeight="14.1"/>
  <cols>
    <col min="1" max="1" width="8.5" style="5" bestFit="1" customWidth="1"/>
    <col min="2" max="2" width="43.75" style="5" customWidth="1"/>
    <col min="3" max="3" width="11.75" style="5" customWidth="1"/>
    <col min="4" max="4" width="8.75" style="2"/>
    <col min="5" max="5" width="8.75" style="4"/>
    <col min="6" max="16384" width="8.75" style="5"/>
  </cols>
  <sheetData>
    <row r="1" spans="1:12" ht="27.4" customHeight="1">
      <c r="A1" s="1" t="s">
        <v>0</v>
      </c>
      <c r="B1" s="1" t="s">
        <v>1</v>
      </c>
      <c r="C1" s="1" t="s">
        <v>2</v>
      </c>
      <c r="D1" s="1" t="s">
        <v>3</v>
      </c>
      <c r="E1" s="7"/>
      <c r="F1" s="7"/>
      <c r="G1" s="7"/>
      <c r="H1" s="7"/>
      <c r="I1" s="7"/>
      <c r="J1" s="7"/>
      <c r="K1" s="7"/>
      <c r="L1" s="7"/>
    </row>
    <row r="2" spans="1:12" ht="27.4" customHeight="1">
      <c r="A2" s="8">
        <v>1</v>
      </c>
      <c r="B2" s="9" t="e">
        <f>#REF!</f>
        <v>#REF!</v>
      </c>
      <c r="C2" s="10" t="e">
        <f>#REF!</f>
        <v>#REF!</v>
      </c>
      <c r="D2" s="10">
        <v>1</v>
      </c>
      <c r="E2" s="7"/>
      <c r="F2" s="7"/>
      <c r="G2" s="7"/>
      <c r="H2" s="7"/>
      <c r="I2" s="7"/>
      <c r="J2" s="7"/>
      <c r="K2" s="7"/>
      <c r="L2" s="7"/>
    </row>
    <row r="3" spans="1:12" ht="27.4" customHeight="1">
      <c r="A3" s="8">
        <v>2</v>
      </c>
      <c r="B3" s="9" t="e">
        <f>#REF!</f>
        <v>#REF!</v>
      </c>
      <c r="C3" s="10" t="e">
        <f>#REF!</f>
        <v>#REF!</v>
      </c>
      <c r="D3" s="10">
        <v>1</v>
      </c>
      <c r="E3" s="7"/>
      <c r="F3" s="7"/>
      <c r="G3" s="7"/>
      <c r="H3" s="7"/>
      <c r="I3" s="7"/>
      <c r="J3" s="7"/>
      <c r="K3" s="7"/>
      <c r="L3" s="7"/>
    </row>
    <row r="4" spans="1:12" ht="27.4" customHeight="1">
      <c r="A4" s="8">
        <v>3</v>
      </c>
      <c r="B4" s="9" t="e">
        <f>#REF!</f>
        <v>#REF!</v>
      </c>
      <c r="C4" s="10" t="e">
        <f>#REF!</f>
        <v>#REF!</v>
      </c>
      <c r="D4" s="10">
        <v>1</v>
      </c>
      <c r="E4" s="7"/>
      <c r="F4" s="7"/>
      <c r="G4" s="7"/>
      <c r="H4" s="7"/>
      <c r="I4" s="7"/>
      <c r="J4" s="7"/>
      <c r="K4" s="7"/>
      <c r="L4" s="7"/>
    </row>
    <row r="5" spans="1:12" ht="27.4" customHeight="1">
      <c r="A5" s="8">
        <v>4</v>
      </c>
      <c r="B5" s="9" t="e">
        <f>#REF!</f>
        <v>#REF!</v>
      </c>
      <c r="C5" s="10" t="e">
        <f>#REF!</f>
        <v>#REF!</v>
      </c>
      <c r="D5" s="10">
        <v>1</v>
      </c>
      <c r="E5" s="7"/>
      <c r="F5" s="7"/>
      <c r="G5" s="7"/>
      <c r="H5" s="7"/>
      <c r="I5" s="7"/>
      <c r="J5" s="7"/>
      <c r="K5" s="7"/>
      <c r="L5" s="7"/>
    </row>
    <row r="6" spans="1:12" ht="27.4" customHeight="1">
      <c r="A6" s="8">
        <v>5</v>
      </c>
      <c r="B6" s="9" t="e">
        <f>#REF!</f>
        <v>#REF!</v>
      </c>
      <c r="C6" s="10" t="e">
        <f>#REF!</f>
        <v>#REF!</v>
      </c>
      <c r="D6" s="10">
        <v>1</v>
      </c>
      <c r="E6" s="7"/>
      <c r="F6" s="7"/>
      <c r="G6" s="7"/>
      <c r="H6" s="7"/>
      <c r="I6" s="7"/>
      <c r="J6" s="7"/>
      <c r="K6" s="7"/>
      <c r="L6" s="7"/>
    </row>
    <row r="7" spans="1:12" ht="27.4" customHeight="1">
      <c r="A7" s="1" t="s">
        <v>0</v>
      </c>
      <c r="B7" s="1" t="s">
        <v>1</v>
      </c>
      <c r="C7" s="1" t="s">
        <v>2</v>
      </c>
      <c r="D7" s="1" t="s">
        <v>3</v>
      </c>
      <c r="E7" s="7"/>
      <c r="F7" s="7"/>
      <c r="G7" s="7"/>
      <c r="H7" s="7"/>
      <c r="I7" s="7"/>
      <c r="J7" s="7"/>
      <c r="K7" s="7"/>
      <c r="L7" s="7"/>
    </row>
    <row r="8" spans="1:12" ht="27.4" customHeight="1">
      <c r="A8" s="8">
        <v>6</v>
      </c>
      <c r="B8" s="9" t="e">
        <f>#REF!</f>
        <v>#REF!</v>
      </c>
      <c r="C8" s="11" t="e">
        <f>#REF!</f>
        <v>#REF!</v>
      </c>
      <c r="D8" s="10">
        <v>1</v>
      </c>
      <c r="E8" s="7"/>
      <c r="F8" s="7"/>
      <c r="G8" s="7"/>
      <c r="H8" s="7"/>
      <c r="I8" s="7"/>
      <c r="J8" s="7"/>
      <c r="K8" s="7"/>
      <c r="L8" s="7"/>
    </row>
    <row r="9" spans="1:12" ht="27.4" customHeight="1">
      <c r="A9" s="8">
        <v>7</v>
      </c>
      <c r="B9" s="9" t="e">
        <f>#REF!</f>
        <v>#REF!</v>
      </c>
      <c r="C9" s="11" t="e">
        <f>#REF!</f>
        <v>#REF!</v>
      </c>
      <c r="D9" s="10">
        <v>1</v>
      </c>
      <c r="E9" s="7"/>
      <c r="F9" s="7"/>
      <c r="G9" s="7"/>
      <c r="H9" s="7"/>
      <c r="I9" s="7"/>
      <c r="J9" s="7"/>
      <c r="K9" s="7"/>
      <c r="L9" s="7"/>
    </row>
    <row r="10" spans="1:12" s="4" customFormat="1" ht="27.4" customHeight="1">
      <c r="A10" s="8">
        <v>8</v>
      </c>
      <c r="B10" s="9" t="e">
        <f>#REF!</f>
        <v>#REF!</v>
      </c>
      <c r="C10" s="11" t="e">
        <f>#REF!</f>
        <v>#REF!</v>
      </c>
      <c r="D10" s="10">
        <v>1</v>
      </c>
      <c r="E10" s="7"/>
      <c r="F10" s="7"/>
      <c r="G10" s="7"/>
      <c r="H10" s="7"/>
      <c r="I10" s="7"/>
      <c r="J10" s="7"/>
      <c r="K10" s="7"/>
      <c r="L10" s="7"/>
    </row>
    <row r="11" spans="1:12" s="4" customFormat="1" ht="27.4" customHeight="1">
      <c r="A11" s="8">
        <v>9</v>
      </c>
      <c r="B11" s="9" t="e">
        <f>#REF!</f>
        <v>#REF!</v>
      </c>
      <c r="C11" s="11" t="e">
        <f>#REF!</f>
        <v>#REF!</v>
      </c>
      <c r="D11" s="10">
        <v>1</v>
      </c>
      <c r="E11" s="7"/>
      <c r="F11" s="7"/>
      <c r="G11" s="7"/>
      <c r="H11" s="7"/>
      <c r="I11" s="7"/>
      <c r="J11" s="7"/>
      <c r="K11" s="7"/>
      <c r="L11" s="7"/>
    </row>
    <row r="12" spans="1:12" s="4" customFormat="1" ht="27.4" customHeight="1">
      <c r="A12" s="8">
        <v>10</v>
      </c>
      <c r="B12" s="9" t="e">
        <f>#REF!</f>
        <v>#REF!</v>
      </c>
      <c r="C12" s="11" t="e">
        <f>#REF!</f>
        <v>#REF!</v>
      </c>
      <c r="D12" s="10">
        <v>1</v>
      </c>
      <c r="E12" s="7"/>
      <c r="F12" s="7"/>
      <c r="G12" s="7"/>
      <c r="H12" s="7"/>
      <c r="I12" s="7"/>
      <c r="J12" s="7"/>
      <c r="K12" s="7"/>
      <c r="L12" s="7"/>
    </row>
    <row r="13" spans="1:12" ht="27.4" customHeight="1">
      <c r="A13" s="1" t="s">
        <v>0</v>
      </c>
      <c r="B13" s="1" t="s">
        <v>1</v>
      </c>
      <c r="C13" s="1" t="s">
        <v>2</v>
      </c>
      <c r="D13" s="1" t="s">
        <v>3</v>
      </c>
      <c r="E13" s="7"/>
      <c r="F13" s="7"/>
      <c r="G13" s="7"/>
      <c r="H13" s="7"/>
      <c r="I13" s="7"/>
      <c r="J13" s="7"/>
      <c r="K13" s="7"/>
      <c r="L13" s="7"/>
    </row>
    <row r="14" spans="1:12" s="4" customFormat="1" ht="27.4" customHeight="1">
      <c r="A14" s="8">
        <v>11</v>
      </c>
      <c r="B14" s="9" t="e">
        <f>#REF!</f>
        <v>#REF!</v>
      </c>
      <c r="C14" s="11" t="e">
        <f>#REF!</f>
        <v>#REF!</v>
      </c>
      <c r="D14" s="10">
        <v>1</v>
      </c>
      <c r="E14" s="7"/>
      <c r="F14" s="7"/>
      <c r="G14" s="7"/>
      <c r="H14" s="7"/>
      <c r="I14" s="7"/>
      <c r="J14" s="7"/>
      <c r="K14" s="7"/>
      <c r="L14" s="7"/>
    </row>
    <row r="15" spans="1:12" s="4" customFormat="1" ht="27.4" customHeight="1">
      <c r="A15" s="8">
        <v>12</v>
      </c>
      <c r="B15" s="9" t="e">
        <f>#REF!</f>
        <v>#REF!</v>
      </c>
      <c r="C15" s="11" t="e">
        <f>#REF!</f>
        <v>#REF!</v>
      </c>
      <c r="D15" s="10">
        <v>1</v>
      </c>
      <c r="E15" s="7"/>
      <c r="F15" s="7"/>
      <c r="G15" s="7"/>
      <c r="H15" s="7"/>
      <c r="I15" s="7"/>
      <c r="J15" s="7"/>
      <c r="K15" s="7"/>
      <c r="L15" s="7"/>
    </row>
    <row r="16" spans="1:12" s="4" customFormat="1" ht="27.4" customHeight="1">
      <c r="A16" s="8">
        <v>13</v>
      </c>
      <c r="B16" s="9" t="e">
        <f>#REF!</f>
        <v>#REF!</v>
      </c>
      <c r="C16" s="11" t="e">
        <f>#REF!</f>
        <v>#REF!</v>
      </c>
      <c r="D16" s="10">
        <v>1</v>
      </c>
      <c r="E16" s="7"/>
      <c r="F16" s="7"/>
      <c r="G16" s="7"/>
      <c r="H16" s="7"/>
      <c r="I16" s="7"/>
      <c r="J16" s="7"/>
      <c r="K16" s="7"/>
      <c r="L16" s="7"/>
    </row>
    <row r="17" spans="1:12" s="4" customFormat="1" ht="27.4" customHeight="1">
      <c r="A17" s="8">
        <v>14</v>
      </c>
      <c r="B17" s="9" t="e">
        <f>#REF!</f>
        <v>#REF!</v>
      </c>
      <c r="C17" s="11" t="e">
        <f>#REF!</f>
        <v>#REF!</v>
      </c>
      <c r="D17" s="10">
        <v>1</v>
      </c>
      <c r="E17" s="7"/>
      <c r="F17" s="7"/>
      <c r="G17" s="7"/>
      <c r="H17" s="7"/>
      <c r="I17" s="7"/>
      <c r="J17" s="7"/>
      <c r="K17" s="7"/>
      <c r="L17" s="7"/>
    </row>
    <row r="18" spans="1:12" s="4" customFormat="1" ht="27.4" customHeight="1">
      <c r="A18" s="8">
        <v>15</v>
      </c>
      <c r="B18" s="9" t="e">
        <f>#REF!</f>
        <v>#REF!</v>
      </c>
      <c r="C18" s="11" t="e">
        <f>#REF!</f>
        <v>#REF!</v>
      </c>
      <c r="D18" s="10">
        <v>1</v>
      </c>
      <c r="E18" s="7"/>
      <c r="F18" s="7"/>
      <c r="G18" s="7"/>
      <c r="H18" s="7"/>
      <c r="I18" s="7"/>
      <c r="J18" s="7"/>
      <c r="K18" s="7"/>
      <c r="L18" s="7"/>
    </row>
    <row r="19" spans="1:12" s="4" customFormat="1">
      <c r="A19" s="7"/>
      <c r="B19" s="3"/>
      <c r="C19" s="6"/>
      <c r="D19" s="7"/>
      <c r="E19" s="7"/>
      <c r="F19" s="7"/>
      <c r="G19" s="7"/>
      <c r="H19" s="7"/>
      <c r="I19" s="7"/>
      <c r="J19" s="7"/>
      <c r="K19" s="7"/>
      <c r="L19" s="7"/>
    </row>
    <row r="20" spans="1:1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>
      <c r="A22" s="7"/>
      <c r="B22" s="7"/>
      <c r="C22" s="7"/>
      <c r="E22" s="7"/>
      <c r="F22" s="7"/>
      <c r="G22" s="7"/>
      <c r="H22" s="7"/>
      <c r="I22" s="7"/>
      <c r="J22" s="7"/>
      <c r="K22" s="7"/>
      <c r="L22" s="7"/>
    </row>
    <row r="23" spans="1:12">
      <c r="A23" s="7"/>
      <c r="B23" s="7"/>
      <c r="C23" s="7"/>
      <c r="E23" s="7"/>
      <c r="F23" s="7"/>
      <c r="G23" s="7"/>
      <c r="H23" s="7"/>
      <c r="I23" s="7"/>
      <c r="J23" s="7"/>
      <c r="K23" s="7"/>
      <c r="L23" s="7"/>
    </row>
    <row r="24" spans="1:12">
      <c r="A24" s="7"/>
      <c r="B24" s="7"/>
      <c r="C24" s="7"/>
      <c r="E24" s="7"/>
      <c r="F24" s="7"/>
      <c r="G24" s="7"/>
      <c r="H24" s="7"/>
      <c r="I24" s="7"/>
      <c r="J24" s="7"/>
      <c r="K24" s="7"/>
      <c r="L24" s="7"/>
    </row>
    <row r="25" spans="1:12">
      <c r="A25" s="7"/>
      <c r="B25" s="7"/>
      <c r="C25" s="7"/>
      <c r="E25" s="7"/>
      <c r="F25" s="7"/>
      <c r="G25" s="7"/>
      <c r="H25" s="7"/>
      <c r="I25" s="7"/>
      <c r="J25" s="7"/>
      <c r="K25" s="7"/>
      <c r="L25" s="7"/>
    </row>
    <row r="26" spans="1:12">
      <c r="A26" s="7"/>
      <c r="B26" s="7"/>
      <c r="C26" s="7"/>
      <c r="E26" s="7"/>
      <c r="F26" s="7"/>
      <c r="G26" s="7"/>
      <c r="H26" s="7"/>
      <c r="I26" s="7"/>
      <c r="J26" s="7"/>
      <c r="K26" s="7"/>
      <c r="L26" s="7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FF82-26EA-4293-822A-E489B8B6998B}">
  <sheetPr>
    <tabColor rgb="FF3399FF"/>
  </sheetPr>
  <dimension ref="A1:W34"/>
  <sheetViews>
    <sheetView topLeftCell="A12" zoomScale="40" zoomScaleNormal="40" workbookViewId="0">
      <selection activeCell="Q26" sqref="Q26"/>
    </sheetView>
  </sheetViews>
  <sheetFormatPr defaultColWidth="9" defaultRowHeight="17.45"/>
  <cols>
    <col min="1" max="1" width="5.5" customWidth="1"/>
    <col min="2" max="2" width="11.75" customWidth="1"/>
    <col min="3" max="3" width="56.25" customWidth="1"/>
    <col min="4" max="4" width="41.25" customWidth="1"/>
    <col min="5" max="5" width="8.75" style="70" bestFit="1" customWidth="1"/>
    <col min="6" max="6" width="32.75" style="70" hidden="1" customWidth="1"/>
    <col min="7" max="7" width="28.25" style="70" hidden="1" customWidth="1"/>
    <col min="8" max="8" width="26.75" style="70" customWidth="1"/>
    <col min="9" max="9" width="16.25" style="70" hidden="1" customWidth="1"/>
    <col min="10" max="10" width="15" hidden="1" customWidth="1"/>
    <col min="11" max="12" width="14.25" hidden="1" customWidth="1"/>
    <col min="13" max="13" width="16.25" style="201" customWidth="1"/>
    <col min="14" max="14" width="19.125" customWidth="1"/>
    <col min="15" max="16" width="14.25" customWidth="1"/>
    <col min="17" max="17" width="8.75" customWidth="1"/>
    <col min="22" max="22" width="12" customWidth="1"/>
  </cols>
  <sheetData>
    <row r="1" spans="1:16" ht="41.65" customHeight="1">
      <c r="A1" s="274" t="s">
        <v>4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6"/>
    </row>
    <row r="2" spans="1:16" s="72" customFormat="1" ht="52.5">
      <c r="A2" s="73" t="s">
        <v>5</v>
      </c>
      <c r="B2" s="73" t="s">
        <v>6</v>
      </c>
      <c r="C2" s="181" t="s">
        <v>7</v>
      </c>
      <c r="D2" s="104" t="s">
        <v>8</v>
      </c>
      <c r="E2" s="104" t="s">
        <v>9</v>
      </c>
      <c r="F2" s="104" t="s">
        <v>10</v>
      </c>
      <c r="G2" s="104" t="s">
        <v>11</v>
      </c>
      <c r="H2" s="104" t="s">
        <v>12</v>
      </c>
      <c r="I2" s="104">
        <v>2563</v>
      </c>
      <c r="J2" s="104">
        <v>2564</v>
      </c>
      <c r="K2" s="104">
        <v>2565</v>
      </c>
      <c r="L2" s="104">
        <v>2566</v>
      </c>
      <c r="M2" s="104" t="s">
        <v>13</v>
      </c>
      <c r="N2" s="214" t="s">
        <v>14</v>
      </c>
      <c r="O2" s="104">
        <v>2569</v>
      </c>
      <c r="P2" s="104">
        <v>2570</v>
      </c>
    </row>
    <row r="3" spans="1:16" s="71" customFormat="1" ht="52.5">
      <c r="A3" s="74">
        <v>3</v>
      </c>
      <c r="B3" s="74" t="s">
        <v>15</v>
      </c>
      <c r="C3" s="182" t="s">
        <v>16</v>
      </c>
      <c r="D3" s="183" t="s">
        <v>17</v>
      </c>
      <c r="E3" s="184">
        <v>4</v>
      </c>
      <c r="F3" s="185">
        <v>1.5</v>
      </c>
      <c r="G3" s="185">
        <v>3</v>
      </c>
      <c r="H3" s="212">
        <v>3.35</v>
      </c>
      <c r="I3" s="212">
        <v>3.35</v>
      </c>
      <c r="J3" s="212">
        <v>3.35</v>
      </c>
      <c r="K3" s="212">
        <v>3.35</v>
      </c>
      <c r="L3" s="212">
        <v>3.35</v>
      </c>
      <c r="M3" s="226">
        <v>4</v>
      </c>
      <c r="N3" s="212"/>
      <c r="O3" s="212"/>
      <c r="P3" s="212"/>
    </row>
    <row r="4" spans="1:16" s="71" customFormat="1">
      <c r="A4" s="75"/>
      <c r="B4" s="75"/>
      <c r="C4" s="182"/>
      <c r="D4" s="183" t="s">
        <v>18</v>
      </c>
      <c r="E4" s="184">
        <v>3</v>
      </c>
      <c r="F4" s="185">
        <v>4</v>
      </c>
      <c r="G4" s="185">
        <v>4</v>
      </c>
      <c r="H4" s="212">
        <v>3.7</v>
      </c>
      <c r="I4" s="212">
        <v>3.7</v>
      </c>
      <c r="J4" s="212">
        <v>3.7</v>
      </c>
      <c r="K4" s="212">
        <v>3.7</v>
      </c>
      <c r="L4" s="212">
        <v>3.7</v>
      </c>
      <c r="M4" s="226">
        <v>3</v>
      </c>
      <c r="N4" s="212"/>
      <c r="O4" s="212"/>
      <c r="P4" s="212"/>
    </row>
    <row r="5" spans="1:16" s="71" customFormat="1" ht="35.1">
      <c r="A5" s="75"/>
      <c r="B5" s="75"/>
      <c r="C5" s="182"/>
      <c r="D5" s="183" t="s">
        <v>19</v>
      </c>
      <c r="E5" s="184">
        <v>4</v>
      </c>
      <c r="F5" s="185">
        <v>3</v>
      </c>
      <c r="G5" s="185">
        <v>3</v>
      </c>
      <c r="H5" s="212">
        <v>3.25</v>
      </c>
      <c r="I5" s="212">
        <v>3.25</v>
      </c>
      <c r="J5" s="212">
        <v>3.25</v>
      </c>
      <c r="K5" s="212">
        <v>3.25</v>
      </c>
      <c r="L5" s="212">
        <v>3.25</v>
      </c>
      <c r="M5" s="226">
        <v>4</v>
      </c>
      <c r="N5" s="212"/>
      <c r="O5" s="212"/>
      <c r="P5" s="212"/>
    </row>
    <row r="6" spans="1:16" s="71" customFormat="1">
      <c r="A6" s="75"/>
      <c r="B6" s="75"/>
      <c r="C6" s="182"/>
      <c r="D6" s="183" t="s">
        <v>20</v>
      </c>
      <c r="E6" s="184">
        <v>2</v>
      </c>
      <c r="F6" s="185">
        <v>3</v>
      </c>
      <c r="G6" s="185">
        <v>3</v>
      </c>
      <c r="H6" s="212">
        <v>3.25</v>
      </c>
      <c r="I6" s="212">
        <v>3.25</v>
      </c>
      <c r="J6" s="212">
        <v>3.25</v>
      </c>
      <c r="K6" s="212">
        <v>3.25</v>
      </c>
      <c r="L6" s="212">
        <v>3.25</v>
      </c>
      <c r="M6" s="226">
        <v>4</v>
      </c>
      <c r="N6" s="212"/>
      <c r="O6" s="212"/>
      <c r="P6" s="212"/>
    </row>
    <row r="7" spans="1:16" s="71" customFormat="1" ht="35.1">
      <c r="A7" s="75"/>
      <c r="B7" s="75"/>
      <c r="C7" s="182"/>
      <c r="D7" s="183" t="s">
        <v>21</v>
      </c>
      <c r="E7" s="184">
        <v>2</v>
      </c>
      <c r="F7" s="185">
        <v>4</v>
      </c>
      <c r="G7" s="185">
        <v>4</v>
      </c>
      <c r="H7" s="212">
        <v>3.4</v>
      </c>
      <c r="I7" s="212">
        <v>3.4</v>
      </c>
      <c r="J7" s="212">
        <v>3.4</v>
      </c>
      <c r="K7" s="212">
        <v>3.4</v>
      </c>
      <c r="L7" s="212">
        <v>3.4</v>
      </c>
      <c r="M7" s="226">
        <v>3.5</v>
      </c>
      <c r="N7" s="212"/>
      <c r="O7" s="212"/>
      <c r="P7" s="212"/>
    </row>
    <row r="8" spans="1:16" s="71" customFormat="1">
      <c r="A8" s="75"/>
      <c r="B8" s="75"/>
      <c r="C8" s="182"/>
      <c r="D8" s="186" t="s">
        <v>22</v>
      </c>
      <c r="E8" s="187">
        <f>SUM(E3:E7)</f>
        <v>15</v>
      </c>
      <c r="F8" s="188">
        <f>((F3*$E$3)+(F4*$E$4)+(F5*$E$5)+(F6*$E$6)+(F7*$E$7))/$E$8</f>
        <v>2.9333333333333331</v>
      </c>
      <c r="G8" s="188">
        <f>((G3*$E$3)+(G4*$E$4)+(G5*$E$5)+(G6*$E$6)+(G7*$E$7))/$E$8</f>
        <v>3.3333333333333335</v>
      </c>
      <c r="H8" s="188">
        <f>((H3*$E$3)+(H4*$E$4)+(H5*$E$5)+(H6*$E$6)+(H7*$E$7))/$E$8</f>
        <v>3.3866666666666663</v>
      </c>
      <c r="I8" s="188">
        <f>((I3*$E$3)+(I4*$E$4)+(I5*$E$5)+(I6*$E$6)+(I7*$E$7))/$E$8</f>
        <v>3.3866666666666663</v>
      </c>
      <c r="J8" s="188">
        <f t="shared" ref="J8" si="0">((J3*$E$3)+(J4*$E$4)+(J5*$E$5)+(J6*$E$6)+(J7*$E$7))/$E$8</f>
        <v>3.3866666666666663</v>
      </c>
      <c r="K8" s="188">
        <f>((K3*$E$3)+(K4*$E$4)+(K5*$E$5)+(K6*$E$6)+(K7*$E$7))/$E$8</f>
        <v>3.3866666666666663</v>
      </c>
      <c r="L8" s="188">
        <f>((L3*$E$3)+(L4*$E$4)+(L5*$E$5)+(L6*$E$6)+(L7*$E$7))/$E$8</f>
        <v>3.3866666666666663</v>
      </c>
      <c r="M8" s="188">
        <f>((M3*$E$3)+(M4*$E$4)+(M5*$E$5)+(M6*$E$6)+(M7*$E$7))/$E$8</f>
        <v>3.7333333333333334</v>
      </c>
      <c r="N8" s="215">
        <v>3.7332999999999998</v>
      </c>
      <c r="O8" s="188">
        <f>((O3*$E$3)+(O4*$E$4)+(O5*$E$5)+(O6*$E$6)+(O7*$E$7))/$E$8</f>
        <v>0</v>
      </c>
      <c r="P8" s="188">
        <f>((P3*$E$3)+(P4*$E$4)+(P5*$E$5)+(P6*$E$6)+(P7*$E$7))/$E$8</f>
        <v>0</v>
      </c>
    </row>
    <row r="9" spans="1:16" s="71" customFormat="1" ht="52.5">
      <c r="A9" s="75"/>
      <c r="B9" s="75"/>
      <c r="C9" s="182" t="s">
        <v>23</v>
      </c>
      <c r="D9" s="183" t="s">
        <v>24</v>
      </c>
      <c r="E9" s="184">
        <v>0</v>
      </c>
      <c r="F9" s="185">
        <v>0</v>
      </c>
      <c r="G9" s="189"/>
      <c r="H9" s="212"/>
      <c r="I9" s="212"/>
      <c r="J9" s="212"/>
      <c r="K9" s="212"/>
      <c r="L9" s="212"/>
      <c r="M9" s="226"/>
      <c r="N9" s="212"/>
      <c r="O9" s="212"/>
      <c r="P9" s="212"/>
    </row>
    <row r="10" spans="1:16" s="71" customFormat="1" ht="35.1">
      <c r="A10" s="75"/>
      <c r="B10" s="75"/>
      <c r="C10" s="182"/>
      <c r="D10" s="183" t="s">
        <v>25</v>
      </c>
      <c r="E10" s="184">
        <v>5</v>
      </c>
      <c r="F10" s="185">
        <v>4</v>
      </c>
      <c r="G10" s="190">
        <v>4</v>
      </c>
      <c r="H10" s="212">
        <v>3</v>
      </c>
      <c r="I10" s="212">
        <v>3</v>
      </c>
      <c r="J10" s="212">
        <v>3</v>
      </c>
      <c r="K10" s="212">
        <v>3</v>
      </c>
      <c r="L10" s="212">
        <v>3</v>
      </c>
      <c r="M10" s="226">
        <v>4</v>
      </c>
      <c r="N10" s="212"/>
      <c r="O10" s="212"/>
      <c r="P10" s="212"/>
    </row>
    <row r="11" spans="1:16" s="71" customFormat="1" ht="35.1">
      <c r="A11" s="75"/>
      <c r="B11" s="75"/>
      <c r="C11" s="182"/>
      <c r="D11" s="183" t="s">
        <v>26</v>
      </c>
      <c r="E11" s="184">
        <v>0</v>
      </c>
      <c r="F11" s="185">
        <v>0</v>
      </c>
      <c r="G11" s="190"/>
      <c r="H11" s="212"/>
      <c r="I11" s="212"/>
      <c r="J11" s="212"/>
      <c r="K11" s="212"/>
      <c r="L11" s="212"/>
      <c r="M11" s="226"/>
      <c r="N11" s="212"/>
      <c r="O11" s="212"/>
      <c r="P11" s="212"/>
    </row>
    <row r="12" spans="1:16" s="71" customFormat="1" ht="52.5">
      <c r="A12" s="75"/>
      <c r="B12" s="75"/>
      <c r="C12" s="182"/>
      <c r="D12" s="183" t="s">
        <v>27</v>
      </c>
      <c r="E12" s="184">
        <v>10</v>
      </c>
      <c r="F12" s="185">
        <v>3.5</v>
      </c>
      <c r="G12" s="190">
        <v>3.5</v>
      </c>
      <c r="H12" s="212">
        <v>2.5</v>
      </c>
      <c r="I12" s="212">
        <v>2.5</v>
      </c>
      <c r="J12" s="212">
        <v>2.5</v>
      </c>
      <c r="K12" s="212">
        <v>2.5</v>
      </c>
      <c r="L12" s="212">
        <v>2.5</v>
      </c>
      <c r="M12" s="226">
        <v>2</v>
      </c>
      <c r="N12" s="212"/>
      <c r="O12" s="212"/>
      <c r="P12" s="212"/>
    </row>
    <row r="13" spans="1:16" s="71" customFormat="1">
      <c r="A13" s="75"/>
      <c r="B13" s="75"/>
      <c r="C13" s="182"/>
      <c r="D13" s="186" t="s">
        <v>22</v>
      </c>
      <c r="E13" s="187">
        <f>SUM(E9:E12)</f>
        <v>15</v>
      </c>
      <c r="F13" s="188">
        <f>((F9*$E$9)+(F10*$E$10)+(F11*$E$11)+(F12*$E$12))/$E$13</f>
        <v>3.6666666666666665</v>
      </c>
      <c r="G13" s="188">
        <f>((G9*$E$9)+(G10*$E$10)+(G11*$E$11)+(G12*$E$12))/$E$13</f>
        <v>3.6666666666666665</v>
      </c>
      <c r="H13" s="188">
        <f>((H9*$E$9)+(H10*$E$10)+(H11*$E$11)+(H12*$E$12))/$E$13</f>
        <v>2.6666666666666665</v>
      </c>
      <c r="I13" s="188">
        <f>((I9*$E$9)+(I10*$E$10)+(I11*$E$11)+(I12*$E$12))/$E$13</f>
        <v>2.6666666666666665</v>
      </c>
      <c r="J13" s="188">
        <f t="shared" ref="J13:L13" si="1">((J9*$E$9)+(J10*$E$10)+(J11*$E$11)+(J12*$E$12))/$E$13</f>
        <v>2.6666666666666665</v>
      </c>
      <c r="K13" s="188">
        <f t="shared" si="1"/>
        <v>2.6666666666666665</v>
      </c>
      <c r="L13" s="188">
        <f t="shared" si="1"/>
        <v>2.6666666666666665</v>
      </c>
      <c r="M13" s="188">
        <f>((M9*$E$9)+(M10*$E$10)+(M11*$E$11)+(M12*$E$12))/$E$13</f>
        <v>2.6666666666666665</v>
      </c>
      <c r="N13" s="215">
        <v>3.3332999999999999</v>
      </c>
      <c r="O13" s="188">
        <f t="shared" ref="O13:P13" si="2">((O9*$E$9)+(O10*$E$10)+(O11*$E$11)+(O12*$E$12))/$E$13</f>
        <v>0</v>
      </c>
      <c r="P13" s="188">
        <f t="shared" si="2"/>
        <v>0</v>
      </c>
    </row>
    <row r="14" spans="1:16" s="71" customFormat="1" ht="35.1">
      <c r="A14" s="75"/>
      <c r="B14" s="75"/>
      <c r="C14" s="182" t="s">
        <v>28</v>
      </c>
      <c r="D14" s="183" t="s">
        <v>29</v>
      </c>
      <c r="E14" s="184">
        <v>5</v>
      </c>
      <c r="F14" s="185">
        <v>4</v>
      </c>
      <c r="G14" s="185">
        <v>4</v>
      </c>
      <c r="H14" s="212">
        <v>3.51</v>
      </c>
      <c r="I14" s="212">
        <v>3.51</v>
      </c>
      <c r="J14" s="212">
        <v>3.51</v>
      </c>
      <c r="K14" s="212">
        <v>3.51</v>
      </c>
      <c r="L14" s="212">
        <v>3.51</v>
      </c>
      <c r="M14" s="226">
        <v>4</v>
      </c>
      <c r="N14" s="212"/>
      <c r="O14" s="212"/>
      <c r="P14" s="212"/>
    </row>
    <row r="15" spans="1:16" s="71" customFormat="1" ht="35.1">
      <c r="A15" s="75"/>
      <c r="B15" s="75"/>
      <c r="C15" s="182"/>
      <c r="D15" s="183" t="s">
        <v>30</v>
      </c>
      <c r="E15" s="184">
        <v>5</v>
      </c>
      <c r="F15" s="185">
        <v>4.25</v>
      </c>
      <c r="G15" s="185">
        <v>4.25</v>
      </c>
      <c r="H15" s="212">
        <v>3.51</v>
      </c>
      <c r="I15" s="212">
        <v>3.51</v>
      </c>
      <c r="J15" s="212">
        <v>3.51</v>
      </c>
      <c r="K15" s="212">
        <v>3.51</v>
      </c>
      <c r="L15" s="212">
        <v>3.51</v>
      </c>
      <c r="M15" s="226">
        <v>4</v>
      </c>
      <c r="N15" s="212"/>
      <c r="O15" s="212"/>
      <c r="P15" s="212"/>
    </row>
    <row r="16" spans="1:16" s="71" customFormat="1" ht="35.1">
      <c r="A16" s="76"/>
      <c r="B16" s="76"/>
      <c r="C16" s="191"/>
      <c r="D16" s="192" t="s">
        <v>31</v>
      </c>
      <c r="E16" s="193">
        <v>5</v>
      </c>
      <c r="F16" s="185">
        <v>4</v>
      </c>
      <c r="G16" s="185">
        <v>4</v>
      </c>
      <c r="H16" s="212">
        <v>3.51</v>
      </c>
      <c r="I16" s="212">
        <v>3.51</v>
      </c>
      <c r="J16" s="212">
        <v>3.51</v>
      </c>
      <c r="K16" s="212">
        <v>3.51</v>
      </c>
      <c r="L16" s="212">
        <v>3.51</v>
      </c>
      <c r="M16" s="226">
        <v>4</v>
      </c>
      <c r="N16" s="212"/>
      <c r="O16" s="212"/>
      <c r="P16" s="212"/>
    </row>
    <row r="17" spans="1:23" s="71" customFormat="1">
      <c r="A17" s="76"/>
      <c r="B17" s="76"/>
      <c r="C17" s="191"/>
      <c r="D17" s="192" t="s">
        <v>32</v>
      </c>
      <c r="E17" s="193">
        <v>3</v>
      </c>
      <c r="F17" s="185">
        <v>4</v>
      </c>
      <c r="G17" s="185">
        <v>4</v>
      </c>
      <c r="H17" s="212">
        <v>3.52</v>
      </c>
      <c r="I17" s="212">
        <v>3.52</v>
      </c>
      <c r="J17" s="212">
        <v>3.52</v>
      </c>
      <c r="K17" s="212">
        <v>3.52</v>
      </c>
      <c r="L17" s="212">
        <v>3.52</v>
      </c>
      <c r="M17" s="226">
        <v>4</v>
      </c>
      <c r="N17" s="212"/>
      <c r="O17" s="212"/>
      <c r="P17" s="212"/>
    </row>
    <row r="18" spans="1:23" s="71" customFormat="1" ht="35.1">
      <c r="A18" s="76"/>
      <c r="B18" s="76"/>
      <c r="C18" s="191"/>
      <c r="D18" s="192" t="s">
        <v>33</v>
      </c>
      <c r="E18" s="193">
        <v>5</v>
      </c>
      <c r="F18" s="185">
        <v>4</v>
      </c>
      <c r="G18" s="185">
        <v>4</v>
      </c>
      <c r="H18" s="212">
        <v>3.51</v>
      </c>
      <c r="I18" s="212">
        <v>3.51</v>
      </c>
      <c r="J18" s="212">
        <v>3.51</v>
      </c>
      <c r="K18" s="212">
        <v>3.51</v>
      </c>
      <c r="L18" s="212">
        <v>3.51</v>
      </c>
      <c r="M18" s="226">
        <v>4</v>
      </c>
      <c r="N18" s="212"/>
      <c r="O18" s="212"/>
      <c r="P18" s="212"/>
    </row>
    <row r="19" spans="1:23" s="71" customFormat="1" ht="52.5">
      <c r="A19" s="76"/>
      <c r="B19" s="76"/>
      <c r="C19" s="191"/>
      <c r="D19" s="192" t="s">
        <v>34</v>
      </c>
      <c r="E19" s="193">
        <v>12</v>
      </c>
      <c r="F19" s="185">
        <v>4</v>
      </c>
      <c r="G19" s="185">
        <v>4</v>
      </c>
      <c r="H19" s="212">
        <v>3.52</v>
      </c>
      <c r="I19" s="212">
        <v>3.52</v>
      </c>
      <c r="J19" s="212">
        <v>3.52</v>
      </c>
      <c r="K19" s="212">
        <v>3.52</v>
      </c>
      <c r="L19" s="212">
        <v>3.52</v>
      </c>
      <c r="M19" s="226">
        <v>3</v>
      </c>
      <c r="N19" s="212"/>
      <c r="O19" s="212"/>
      <c r="P19" s="212"/>
    </row>
    <row r="20" spans="1:23" s="71" customFormat="1">
      <c r="A20" s="75"/>
      <c r="B20" s="75"/>
      <c r="C20" s="182"/>
      <c r="D20" s="186" t="s">
        <v>22</v>
      </c>
      <c r="E20" s="187">
        <f>SUM(E14:E19)</f>
        <v>35</v>
      </c>
      <c r="F20" s="188">
        <f>((F14*$E$14)+(F15*$E$15)+(F16*$E$16)+(F17*$E$17)+(F18*$E$18)+(F19*$E$19))/$E$20</f>
        <v>4.0357142857142856</v>
      </c>
      <c r="G20" s="188">
        <f>((G14*$E$14)+(G15*$E$15)+(G16*$E$16)+(G17*$E$17)+(G18*$E$18)+(G19*$E$19))/$E$20</f>
        <v>4.0357142857142856</v>
      </c>
      <c r="H20" s="188">
        <f>((H14*$E$14)+(H15*$E$15)+(H16*$E$16)+(H17*$E$17)+(H18*$E$18)+(H19*$E$19))/$E$20</f>
        <v>3.5142857142857142</v>
      </c>
      <c r="I20" s="188">
        <f>((I14*$E$14)+(I15*$E$15)+(I16*$E$16)+(I17*$E$17)+(I18*$E$18)+(I19*$E$19))/$E$20</f>
        <v>3.5142857142857142</v>
      </c>
      <c r="J20" s="188">
        <f t="shared" ref="J20:K20" si="3">((J14*$E$14)+(J15*$E$15)+(J16*$E$16)+(J17*$E$17)+(J18*$E$18)+(J19*$E$19))/$E$20</f>
        <v>3.5142857142857142</v>
      </c>
      <c r="K20" s="188">
        <f t="shared" si="3"/>
        <v>3.5142857142857142</v>
      </c>
      <c r="L20" s="188">
        <f>((L14*$E$14)+(L15*$E$15)+(L16*$E$16)+(L17*$E$17)+(L18*$E$18)+(L19*$E$19))/$E$20</f>
        <v>3.5142857142857142</v>
      </c>
      <c r="M20" s="188">
        <f>((M14*$E$14)+(M15*$E$15)+(M16*$E$16)+(M17*$E$17)+(M18*$E$18)+(M19*$E$19))/$E$20</f>
        <v>3.657142857142857</v>
      </c>
      <c r="N20" s="215">
        <v>3.8571</v>
      </c>
      <c r="O20" s="188">
        <f t="shared" ref="O20" si="4">((O14*$E$14)+(O15*$E$15)+(O16*$E$16)+(O17*$E$17)+(O18*$E$18)+(O19*$E$19))/$E$20</f>
        <v>0</v>
      </c>
      <c r="P20" s="188">
        <f>((P14*$E$14)+(P15*$E$15)+(P16*$E$16)+(P17*$E$17)+(P18*$E$18)+(P19*$E$19))/$E$20</f>
        <v>0</v>
      </c>
    </row>
    <row r="21" spans="1:23" s="71" customFormat="1" ht="35.1">
      <c r="A21" s="75"/>
      <c r="B21" s="75"/>
      <c r="C21" s="182" t="s">
        <v>35</v>
      </c>
      <c r="D21" s="183" t="s">
        <v>36</v>
      </c>
      <c r="E21" s="184">
        <v>10</v>
      </c>
      <c r="F21" s="185">
        <v>4</v>
      </c>
      <c r="G21" s="185">
        <v>4</v>
      </c>
      <c r="H21" s="212">
        <v>2.2999999999999998</v>
      </c>
      <c r="I21" s="212">
        <v>2.2999999999999998</v>
      </c>
      <c r="J21" s="212">
        <v>2.2999999999999998</v>
      </c>
      <c r="K21" s="212">
        <v>2.2999999999999998</v>
      </c>
      <c r="L21" s="212">
        <v>2.2999999999999998</v>
      </c>
      <c r="M21" s="226">
        <v>3</v>
      </c>
      <c r="N21" s="212"/>
      <c r="O21" s="212"/>
      <c r="P21" s="212"/>
    </row>
    <row r="22" spans="1:23" s="71" customFormat="1" ht="35.1">
      <c r="A22" s="75"/>
      <c r="B22" s="75"/>
      <c r="C22" s="182"/>
      <c r="D22" s="183" t="s">
        <v>37</v>
      </c>
      <c r="E22" s="184">
        <v>5</v>
      </c>
      <c r="F22" s="185">
        <v>3</v>
      </c>
      <c r="G22" s="185">
        <v>3</v>
      </c>
      <c r="H22" s="212">
        <v>2.4</v>
      </c>
      <c r="I22" s="212">
        <v>2.4</v>
      </c>
      <c r="J22" s="212">
        <v>2.4</v>
      </c>
      <c r="K22" s="212">
        <v>2.4</v>
      </c>
      <c r="L22" s="212">
        <v>2.4</v>
      </c>
      <c r="M22" s="226">
        <v>2</v>
      </c>
      <c r="N22" s="212"/>
      <c r="O22" s="212"/>
      <c r="P22" s="212"/>
    </row>
    <row r="23" spans="1:23" s="71" customFormat="1" ht="35.1">
      <c r="A23" s="75"/>
      <c r="B23" s="75"/>
      <c r="C23" s="182"/>
      <c r="D23" s="183" t="s">
        <v>38</v>
      </c>
      <c r="E23" s="184">
        <v>0</v>
      </c>
      <c r="F23" s="185">
        <v>0</v>
      </c>
      <c r="G23" s="194"/>
      <c r="H23" s="213"/>
      <c r="I23" s="213"/>
      <c r="J23" s="213"/>
      <c r="K23" s="213"/>
      <c r="L23" s="213"/>
      <c r="M23" s="194"/>
      <c r="N23" s="212"/>
      <c r="O23" s="212"/>
      <c r="P23" s="212"/>
    </row>
    <row r="24" spans="1:23" s="71" customFormat="1">
      <c r="A24" s="75"/>
      <c r="B24" s="75"/>
      <c r="C24" s="182"/>
      <c r="D24" s="186" t="s">
        <v>22</v>
      </c>
      <c r="E24" s="187">
        <f>SUM(E21:E23)</f>
        <v>15</v>
      </c>
      <c r="F24" s="188">
        <f>((F21*$E$21)+(F22*$E$22)+(F23*$E$23))/$E$24</f>
        <v>3.6666666666666665</v>
      </c>
      <c r="G24" s="188">
        <f>((G21*$E$21)+(G22*$E$22)+(G23*$E$23))/$E$24</f>
        <v>3.6666666666666665</v>
      </c>
      <c r="H24" s="188">
        <f>((H21*$E$21)+(H22*$E$22)+(H23*$E$23))/$E$24</f>
        <v>2.3333333333333335</v>
      </c>
      <c r="I24" s="188">
        <f>((I21*$E$21)+(I22*$E$22)+(I23*$E$23))/$E$24</f>
        <v>2.3333333333333335</v>
      </c>
      <c r="J24" s="188">
        <f t="shared" ref="J24:L24" si="5">((J21*$E$21)+(J22*$E$22)+(J23*$E$23))/$E$24</f>
        <v>2.3333333333333335</v>
      </c>
      <c r="K24" s="188">
        <f t="shared" si="5"/>
        <v>2.3333333333333335</v>
      </c>
      <c r="L24" s="188">
        <f t="shared" si="5"/>
        <v>2.3333333333333335</v>
      </c>
      <c r="M24" s="188">
        <f>((M21*$E$21)+(M22*$E$22)+(M23*$E$23))/$E$24</f>
        <v>2.6666666666666665</v>
      </c>
      <c r="N24" s="215">
        <v>3.3332999999999999</v>
      </c>
      <c r="O24" s="188">
        <f t="shared" ref="O24:P24" si="6">((O21*$E$21)+(O22*$E$22)+(O23*$E$23))/$E$24</f>
        <v>0</v>
      </c>
      <c r="P24" s="188">
        <f t="shared" si="6"/>
        <v>0</v>
      </c>
    </row>
    <row r="25" spans="1:23" s="71" customFormat="1" ht="35.1">
      <c r="A25" s="75"/>
      <c r="B25" s="75"/>
      <c r="C25" s="182" t="s">
        <v>39</v>
      </c>
      <c r="D25" s="183" t="s">
        <v>40</v>
      </c>
      <c r="E25" s="184">
        <v>5</v>
      </c>
      <c r="F25" s="185">
        <v>3</v>
      </c>
      <c r="G25" s="190">
        <v>3.5</v>
      </c>
      <c r="H25" s="195">
        <v>3.5</v>
      </c>
      <c r="I25" s="195">
        <v>3.5</v>
      </c>
      <c r="J25" s="195">
        <v>3.5</v>
      </c>
      <c r="K25" s="195">
        <v>3.5</v>
      </c>
      <c r="L25" s="195">
        <v>3.5</v>
      </c>
      <c r="M25" s="195">
        <v>3.8</v>
      </c>
      <c r="N25" s="196"/>
      <c r="O25" s="196"/>
      <c r="P25" s="196">
        <v>4</v>
      </c>
    </row>
    <row r="26" spans="1:23" s="71" customFormat="1" ht="52.5">
      <c r="A26" s="75"/>
      <c r="B26" s="75"/>
      <c r="C26" s="182"/>
      <c r="D26" s="183" t="s">
        <v>41</v>
      </c>
      <c r="E26" s="184">
        <v>5</v>
      </c>
      <c r="F26" s="185">
        <v>4</v>
      </c>
      <c r="G26" s="190">
        <v>3.5</v>
      </c>
      <c r="H26" s="195">
        <v>3.5</v>
      </c>
      <c r="I26" s="195">
        <v>3.5</v>
      </c>
      <c r="J26" s="195">
        <v>3.5</v>
      </c>
      <c r="K26" s="195">
        <v>3.5</v>
      </c>
      <c r="L26" s="195">
        <v>3.5</v>
      </c>
      <c r="M26" s="195">
        <v>3.8</v>
      </c>
      <c r="N26" s="196"/>
      <c r="O26" s="196"/>
      <c r="P26" s="196">
        <v>4</v>
      </c>
    </row>
    <row r="27" spans="1:23" s="71" customFormat="1" ht="35.1">
      <c r="A27" s="75"/>
      <c r="B27" s="75"/>
      <c r="C27" s="182"/>
      <c r="D27" s="183" t="s">
        <v>42</v>
      </c>
      <c r="E27" s="184">
        <v>6</v>
      </c>
      <c r="F27" s="185">
        <v>4</v>
      </c>
      <c r="G27" s="197">
        <v>4</v>
      </c>
      <c r="H27" s="195">
        <v>3.5</v>
      </c>
      <c r="I27" s="195">
        <v>3.5</v>
      </c>
      <c r="J27" s="195">
        <v>3.5</v>
      </c>
      <c r="K27" s="195">
        <v>3.5</v>
      </c>
      <c r="L27" s="195">
        <v>3.5</v>
      </c>
      <c r="M27" s="195">
        <v>3.5</v>
      </c>
      <c r="N27" s="196"/>
      <c r="O27" s="196"/>
      <c r="P27" s="196">
        <v>3.3</v>
      </c>
    </row>
    <row r="28" spans="1:23" s="71" customFormat="1" ht="35.1">
      <c r="A28" s="75"/>
      <c r="B28" s="75"/>
      <c r="C28" s="182"/>
      <c r="D28" s="183" t="s">
        <v>43</v>
      </c>
      <c r="E28" s="184">
        <v>4</v>
      </c>
      <c r="F28" s="185">
        <v>4.25</v>
      </c>
      <c r="G28" s="197">
        <v>4</v>
      </c>
      <c r="H28" s="195">
        <v>3.5</v>
      </c>
      <c r="I28" s="195">
        <v>3.5</v>
      </c>
      <c r="J28" s="195">
        <v>3.5</v>
      </c>
      <c r="K28" s="195">
        <v>3.5</v>
      </c>
      <c r="L28" s="195">
        <v>3.5</v>
      </c>
      <c r="M28" s="195">
        <v>3.5</v>
      </c>
      <c r="N28" s="196"/>
      <c r="O28" s="196"/>
      <c r="P28" s="196">
        <v>3.3</v>
      </c>
    </row>
    <row r="29" spans="1:23" s="71" customFormat="1">
      <c r="A29" s="75"/>
      <c r="B29" s="75"/>
      <c r="C29" s="75"/>
      <c r="D29" s="198" t="s">
        <v>22</v>
      </c>
      <c r="E29" s="199">
        <f>SUM(E25:E28)</f>
        <v>20</v>
      </c>
      <c r="F29" s="200">
        <f>((F25*$E$25)+(F26*$E$26)+(F27*$E$27)+(F28*$E$28))/$E$29</f>
        <v>3.8</v>
      </c>
      <c r="G29" s="200">
        <f t="shared" ref="G29:P29" si="7">((G25*$E$25)+(G26*$E$26)+(G27*$E$27)+(G28*$E$28))/$E$29</f>
        <v>3.75</v>
      </c>
      <c r="H29" s="200">
        <f t="shared" si="7"/>
        <v>3.5</v>
      </c>
      <c r="I29" s="200">
        <f t="shared" si="7"/>
        <v>3.5</v>
      </c>
      <c r="J29" s="200">
        <f t="shared" si="7"/>
        <v>3.5</v>
      </c>
      <c r="K29" s="200">
        <f t="shared" si="7"/>
        <v>3.5</v>
      </c>
      <c r="L29" s="200">
        <f t="shared" si="7"/>
        <v>3.5</v>
      </c>
      <c r="M29" s="200">
        <f>((M25*$E$25)+(M26*$E$26)+(M27*$E$27)+(M28*$E$28))/$E$29</f>
        <v>3.65</v>
      </c>
      <c r="N29" s="215">
        <v>4.0625</v>
      </c>
      <c r="O29" s="200">
        <f t="shared" si="7"/>
        <v>0</v>
      </c>
      <c r="P29" s="200">
        <f t="shared" si="7"/>
        <v>3.65</v>
      </c>
    </row>
    <row r="30" spans="1:23" s="71" customFormat="1">
      <c r="A30" s="75"/>
      <c r="B30" s="75"/>
      <c r="C30" s="75"/>
      <c r="D30" s="77" t="s">
        <v>44</v>
      </c>
      <c r="E30" s="78">
        <f>E8+E13+E20+E24+E29</f>
        <v>100</v>
      </c>
      <c r="F30" s="79">
        <f>((F8*$E$8)+(F13*$E$13)+(F20*$E$20)+(F24*$E$24)+(F29*$E$29))/100</f>
        <v>3.7124999999999999</v>
      </c>
      <c r="G30" s="79">
        <f t="shared" ref="G30" si="8">((G8*$E$8)+(G13*$E$13)+(G20*$E$20)+(G24*$E$24)+(G29*$E$29))/100</f>
        <v>3.7625000000000002</v>
      </c>
      <c r="H30" s="79">
        <f>((H8*$E$8)+(H13*$E$13)+(H20*$E$20)+(H24*$E$24)+(H29*$E$29))/100</f>
        <v>3.1880000000000002</v>
      </c>
      <c r="I30" s="79">
        <f t="shared" ref="I30:P30" si="9">((I8*$E$8)+(I13*$E$13)+(I20*$E$20)+(I24*$E$24)+(I29*$E$29))/100</f>
        <v>3.1880000000000002</v>
      </c>
      <c r="J30" s="79">
        <f t="shared" si="9"/>
        <v>3.1880000000000002</v>
      </c>
      <c r="K30" s="79">
        <f t="shared" si="9"/>
        <v>3.1880000000000002</v>
      </c>
      <c r="L30" s="79">
        <f t="shared" si="9"/>
        <v>3.1880000000000002</v>
      </c>
      <c r="M30" s="79">
        <f t="shared" si="9"/>
        <v>3.37</v>
      </c>
      <c r="N30" s="79">
        <f>((N8*$E$8)+(N13*$E$13)+(N20*$E$20)+(N24*$E$24)+(N29*$E$29))/100</f>
        <v>3.7224699999999999</v>
      </c>
      <c r="O30" s="79">
        <f t="shared" si="9"/>
        <v>0</v>
      </c>
      <c r="P30" s="79">
        <f t="shared" si="9"/>
        <v>0.73</v>
      </c>
    </row>
    <row r="31" spans="1:23">
      <c r="A31" s="80"/>
      <c r="B31" s="80"/>
      <c r="C31" s="80"/>
      <c r="D31" s="80"/>
      <c r="E31" s="81"/>
      <c r="H31" s="82" t="s">
        <v>45</v>
      </c>
      <c r="I31" s="82" t="e">
        <f>(I30-B30)/B30</f>
        <v>#DIV/0!</v>
      </c>
      <c r="J31" s="82">
        <f>(J30-I30)/I30</f>
        <v>0</v>
      </c>
      <c r="K31" s="82">
        <f>(K30-J30)/J30</f>
        <v>0</v>
      </c>
      <c r="L31" s="82">
        <f>(L30-K30)/K30</f>
        <v>0</v>
      </c>
      <c r="M31" s="82">
        <f>(M30-H30)/H30</f>
        <v>5.7089084065244648E-2</v>
      </c>
      <c r="N31" s="82">
        <f>(N30-M30)/M30</f>
        <v>0.10459050445103853</v>
      </c>
      <c r="O31" s="82">
        <f>(O30-N30)/N30</f>
        <v>-1</v>
      </c>
      <c r="P31" s="82" t="e">
        <f>(P30-O30)/O30</f>
        <v>#DIV/0!</v>
      </c>
    </row>
    <row r="32" spans="1:23">
      <c r="A32" s="83"/>
      <c r="B32" s="83"/>
      <c r="C32" s="83"/>
      <c r="D32" s="83"/>
      <c r="E32" s="84"/>
      <c r="H32" s="85" t="s">
        <v>46</v>
      </c>
      <c r="I32" s="86">
        <v>4</v>
      </c>
      <c r="J32" s="87">
        <v>4</v>
      </c>
      <c r="K32" s="87">
        <v>4.25</v>
      </c>
      <c r="L32" s="87">
        <v>4.5</v>
      </c>
      <c r="M32" s="86">
        <v>4</v>
      </c>
      <c r="N32" s="87">
        <v>4</v>
      </c>
      <c r="O32" s="87">
        <v>4.25</v>
      </c>
      <c r="P32" s="87">
        <v>4.5</v>
      </c>
      <c r="Q32" s="277" t="s">
        <v>47</v>
      </c>
      <c r="R32" s="278"/>
      <c r="S32" s="278"/>
      <c r="T32" s="278"/>
      <c r="U32" s="278"/>
      <c r="V32" s="278"/>
      <c r="W32" s="278"/>
    </row>
    <row r="34" spans="12:12">
      <c r="L34">
        <f>(M30-K30)/M30</f>
        <v>5.4005934718100869E-2</v>
      </c>
    </row>
  </sheetData>
  <mergeCells count="2">
    <mergeCell ref="A1:P1"/>
    <mergeCell ref="Q32:W3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0C99-1702-4CC1-B754-81FC23886347}">
  <sheetPr filterMode="1">
    <tabColor rgb="FF3399FF"/>
    <pageSetUpPr fitToPage="1"/>
  </sheetPr>
  <dimension ref="A1:U72"/>
  <sheetViews>
    <sheetView tabSelected="1" zoomScale="70" zoomScaleNormal="70" zoomScaleSheetLayoutView="55" workbookViewId="0">
      <pane ySplit="1" topLeftCell="H2" activePane="bottomLeft" state="frozen"/>
      <selection pane="bottomLeft" activeCell="L12" sqref="L12"/>
    </sheetView>
  </sheetViews>
  <sheetFormatPr defaultColWidth="9" defaultRowHeight="18" customHeight="1"/>
  <cols>
    <col min="1" max="1" width="15.25" style="91" customWidth="1"/>
    <col min="2" max="2" width="8.5" style="90" customWidth="1"/>
    <col min="3" max="3" width="21.25" style="93" customWidth="1"/>
    <col min="4" max="4" width="10.75" style="92" hidden="1" customWidth="1"/>
    <col min="5" max="5" width="14" style="91" hidden="1" customWidth="1"/>
    <col min="6" max="6" width="10.75" style="92" hidden="1" customWidth="1"/>
    <col min="7" max="7" width="25.875" style="93" bestFit="1" customWidth="1"/>
    <col min="8" max="8" width="67.5" style="91" customWidth="1"/>
    <col min="9" max="15" width="30.625" style="91" customWidth="1"/>
    <col min="16" max="16" width="58.625" style="93" customWidth="1"/>
    <col min="17" max="21" width="27.625" style="93" customWidth="1"/>
    <col min="22" max="16384" width="9" style="91"/>
  </cols>
  <sheetData>
    <row r="1" spans="1:21" s="90" customFormat="1" ht="119.65" customHeight="1">
      <c r="A1" s="223" t="s">
        <v>48</v>
      </c>
      <c r="B1" s="88" t="s">
        <v>49</v>
      </c>
      <c r="C1" s="89" t="s">
        <v>50</v>
      </c>
      <c r="D1" s="88" t="s">
        <v>49</v>
      </c>
      <c r="E1" s="89" t="s">
        <v>51</v>
      </c>
      <c r="F1" s="178" t="s">
        <v>52</v>
      </c>
      <c r="G1" s="202" t="s">
        <v>53</v>
      </c>
      <c r="H1" s="203" t="s">
        <v>54</v>
      </c>
      <c r="I1" s="230" t="s">
        <v>55</v>
      </c>
      <c r="J1" s="230" t="s">
        <v>56</v>
      </c>
      <c r="K1" s="230" t="s">
        <v>57</v>
      </c>
      <c r="L1" s="230" t="s">
        <v>58</v>
      </c>
      <c r="M1" s="230" t="s">
        <v>59</v>
      </c>
      <c r="N1" s="230" t="s">
        <v>60</v>
      </c>
      <c r="O1" s="230" t="s">
        <v>61</v>
      </c>
      <c r="P1" s="231" t="s">
        <v>62</v>
      </c>
      <c r="Q1" s="231" t="s">
        <v>63</v>
      </c>
      <c r="R1" s="231" t="s">
        <v>64</v>
      </c>
      <c r="S1" s="231" t="s">
        <v>65</v>
      </c>
      <c r="T1" s="231" t="s">
        <v>66</v>
      </c>
      <c r="U1" s="231" t="s">
        <v>67</v>
      </c>
    </row>
    <row r="2" spans="1:21" s="92" customFormat="1" ht="141.94999999999999" customHeight="1">
      <c r="A2" s="204" t="s">
        <v>68</v>
      </c>
      <c r="B2" s="218">
        <v>0.15</v>
      </c>
      <c r="C2" s="183" t="s">
        <v>17</v>
      </c>
      <c r="D2" s="94">
        <v>0.04</v>
      </c>
      <c r="E2" s="205">
        <v>2568</v>
      </c>
      <c r="F2" s="206">
        <f>'ประมาณการคะแนน หัวข้อ RM&amp;IC'!N8</f>
        <v>3.7332999999999998</v>
      </c>
      <c r="G2" s="117" t="s">
        <v>69</v>
      </c>
      <c r="H2" s="113" t="s">
        <v>70</v>
      </c>
      <c r="I2" s="232" t="s">
        <v>71</v>
      </c>
      <c r="J2" s="232" t="s">
        <v>72</v>
      </c>
      <c r="K2" s="232"/>
      <c r="L2" s="232" t="s">
        <v>73</v>
      </c>
      <c r="M2" s="233" t="s">
        <v>74</v>
      </c>
      <c r="N2" s="233" t="s">
        <v>75</v>
      </c>
      <c r="O2" s="232" t="s">
        <v>76</v>
      </c>
      <c r="P2" s="217" t="s">
        <v>77</v>
      </c>
      <c r="Q2" s="273" t="s">
        <v>78</v>
      </c>
      <c r="R2" s="273" t="s">
        <v>79</v>
      </c>
      <c r="S2" s="273" t="s">
        <v>79</v>
      </c>
      <c r="T2" s="273" t="s">
        <v>79</v>
      </c>
      <c r="U2" s="273" t="s">
        <v>79</v>
      </c>
    </row>
    <row r="3" spans="1:21" s="92" customFormat="1" ht="109.9" customHeight="1">
      <c r="A3" s="204"/>
      <c r="B3" s="218"/>
      <c r="C3" s="183" t="s">
        <v>17</v>
      </c>
      <c r="D3" s="94">
        <v>0.04</v>
      </c>
      <c r="E3" s="205">
        <v>2568</v>
      </c>
      <c r="F3" s="206"/>
      <c r="G3" s="117" t="s">
        <v>69</v>
      </c>
      <c r="H3" s="113" t="s">
        <v>80</v>
      </c>
      <c r="I3" s="232" t="s">
        <v>81</v>
      </c>
      <c r="J3" s="232" t="s">
        <v>82</v>
      </c>
      <c r="K3" s="232" t="s">
        <v>83</v>
      </c>
      <c r="L3" s="232" t="s">
        <v>84</v>
      </c>
      <c r="M3" s="233" t="s">
        <v>74</v>
      </c>
      <c r="N3" s="232" t="s">
        <v>85</v>
      </c>
      <c r="O3" s="232" t="s">
        <v>76</v>
      </c>
      <c r="P3" s="109"/>
      <c r="Q3" s="273" t="s">
        <v>78</v>
      </c>
      <c r="R3" s="273" t="s">
        <v>79</v>
      </c>
      <c r="S3" s="273" t="s">
        <v>79</v>
      </c>
      <c r="T3" s="273" t="s">
        <v>79</v>
      </c>
      <c r="U3" s="273" t="s">
        <v>79</v>
      </c>
    </row>
    <row r="4" spans="1:21" s="92" customFormat="1" ht="109.9" hidden="1" customHeight="1">
      <c r="A4" s="204"/>
      <c r="B4" s="218"/>
      <c r="C4" s="183"/>
      <c r="D4" s="94">
        <v>0.04</v>
      </c>
      <c r="E4" s="205">
        <v>2567</v>
      </c>
      <c r="F4" s="206">
        <f>'ประมาณการคะแนน หัวข้อ RM&amp;IC'!H8</f>
        <v>3.3866666666666663</v>
      </c>
      <c r="G4" s="117" t="s">
        <v>86</v>
      </c>
      <c r="H4" s="113" t="s">
        <v>87</v>
      </c>
      <c r="I4" s="232" t="s">
        <v>88</v>
      </c>
      <c r="J4" s="232" t="s">
        <v>89</v>
      </c>
      <c r="K4" s="232"/>
      <c r="L4" s="232" t="s">
        <v>90</v>
      </c>
      <c r="M4" s="232" t="s">
        <v>91</v>
      </c>
      <c r="N4" s="232" t="s">
        <v>92</v>
      </c>
      <c r="O4" s="232" t="s">
        <v>93</v>
      </c>
      <c r="P4" s="112"/>
      <c r="Q4" s="257"/>
      <c r="R4" s="258"/>
      <c r="S4" s="259"/>
      <c r="T4" s="260"/>
      <c r="U4" s="261" t="s">
        <v>94</v>
      </c>
    </row>
    <row r="5" spans="1:21" s="92" customFormat="1" ht="101.65" hidden="1" customHeight="1">
      <c r="A5" s="204"/>
      <c r="B5" s="218"/>
      <c r="C5" s="183"/>
      <c r="D5" s="94">
        <v>0.04</v>
      </c>
      <c r="E5" s="205">
        <v>2567</v>
      </c>
      <c r="F5" s="207"/>
      <c r="G5" s="117" t="s">
        <v>86</v>
      </c>
      <c r="H5" s="113" t="s">
        <v>95</v>
      </c>
      <c r="I5" s="232" t="s">
        <v>88</v>
      </c>
      <c r="J5" s="232" t="s">
        <v>89</v>
      </c>
      <c r="K5" s="232"/>
      <c r="L5" s="232" t="s">
        <v>73</v>
      </c>
      <c r="M5" s="232" t="s">
        <v>91</v>
      </c>
      <c r="N5" s="232" t="s">
        <v>96</v>
      </c>
      <c r="O5" s="232" t="s">
        <v>97</v>
      </c>
      <c r="P5" s="107"/>
      <c r="Q5" s="107"/>
      <c r="R5" s="107"/>
      <c r="S5" s="108"/>
      <c r="T5" s="234"/>
      <c r="U5" s="234"/>
    </row>
    <row r="6" spans="1:21" s="92" customFormat="1" ht="101.65" customHeight="1">
      <c r="A6" s="204"/>
      <c r="B6" s="218"/>
      <c r="C6" s="183" t="s">
        <v>18</v>
      </c>
      <c r="D6" s="97">
        <v>0.03</v>
      </c>
      <c r="E6" s="205">
        <v>2568</v>
      </c>
      <c r="F6" s="207"/>
      <c r="G6" s="117" t="s">
        <v>69</v>
      </c>
      <c r="H6" s="113" t="s">
        <v>98</v>
      </c>
      <c r="I6" s="232" t="s">
        <v>81</v>
      </c>
      <c r="J6" s="232" t="s">
        <v>99</v>
      </c>
      <c r="K6" s="232"/>
      <c r="L6" s="232" t="s">
        <v>100</v>
      </c>
      <c r="M6" s="233" t="s">
        <v>91</v>
      </c>
      <c r="N6" s="232" t="s">
        <v>101</v>
      </c>
      <c r="O6" s="232" t="s">
        <v>76</v>
      </c>
      <c r="P6" s="107"/>
      <c r="Q6" s="273" t="s">
        <v>78</v>
      </c>
      <c r="R6" s="273" t="s">
        <v>79</v>
      </c>
      <c r="S6" s="273" t="s">
        <v>79</v>
      </c>
      <c r="T6" s="273" t="s">
        <v>79</v>
      </c>
      <c r="U6" s="273" t="s">
        <v>79</v>
      </c>
    </row>
    <row r="7" spans="1:21" ht="196.9" hidden="1" customHeight="1">
      <c r="A7" s="96"/>
      <c r="B7" s="180"/>
      <c r="C7" s="91"/>
      <c r="D7" s="97">
        <v>0.03</v>
      </c>
      <c r="E7" s="205">
        <v>2567</v>
      </c>
      <c r="F7" s="207"/>
      <c r="G7" s="106" t="s">
        <v>86</v>
      </c>
      <c r="H7" s="113" t="s">
        <v>102</v>
      </c>
      <c r="I7" s="232"/>
      <c r="J7" s="232"/>
      <c r="K7" s="232"/>
      <c r="L7" s="232"/>
      <c r="M7" s="232"/>
      <c r="N7" s="232"/>
      <c r="O7" s="232"/>
      <c r="P7" s="114"/>
      <c r="Q7" s="262"/>
      <c r="R7" s="262"/>
      <c r="S7" s="263"/>
      <c r="T7" s="264"/>
      <c r="U7" s="264"/>
    </row>
    <row r="8" spans="1:21" ht="208.15" hidden="1" customHeight="1">
      <c r="A8" s="96"/>
      <c r="B8" s="180"/>
      <c r="C8" s="183"/>
      <c r="D8" s="97">
        <v>0.03</v>
      </c>
      <c r="E8" s="205">
        <v>2567</v>
      </c>
      <c r="F8" s="207"/>
      <c r="G8" s="106" t="s">
        <v>86</v>
      </c>
      <c r="H8" s="113" t="s">
        <v>103</v>
      </c>
      <c r="I8" s="236"/>
      <c r="J8" s="236"/>
      <c r="K8" s="232"/>
      <c r="L8" s="236"/>
      <c r="M8" s="236"/>
      <c r="N8" s="236"/>
      <c r="O8" s="236"/>
      <c r="P8" s="113"/>
      <c r="Q8" s="109"/>
      <c r="R8" s="110"/>
      <c r="S8" s="111"/>
      <c r="T8" s="237"/>
      <c r="U8" s="237"/>
    </row>
    <row r="9" spans="1:21" ht="90.75" hidden="1" customHeight="1">
      <c r="A9" s="96"/>
      <c r="B9" s="180"/>
      <c r="C9" s="183"/>
      <c r="D9" s="97">
        <v>0.03</v>
      </c>
      <c r="E9" s="205">
        <v>2567</v>
      </c>
      <c r="F9" s="207"/>
      <c r="G9" s="106" t="s">
        <v>69</v>
      </c>
      <c r="H9" s="113" t="s">
        <v>104</v>
      </c>
      <c r="I9" s="236"/>
      <c r="J9" s="236"/>
      <c r="K9" s="232"/>
      <c r="L9" s="236"/>
      <c r="M9" s="236"/>
      <c r="N9" s="236"/>
      <c r="O9" s="236"/>
      <c r="P9" s="113"/>
      <c r="Q9" s="109"/>
      <c r="R9" s="110"/>
      <c r="S9" s="111"/>
      <c r="T9" s="235"/>
      <c r="U9" s="235"/>
    </row>
    <row r="10" spans="1:21" ht="90.75" customHeight="1">
      <c r="A10" s="96"/>
      <c r="B10" s="180"/>
      <c r="C10" s="183" t="s">
        <v>19</v>
      </c>
      <c r="D10" s="97">
        <v>0.04</v>
      </c>
      <c r="E10" s="205">
        <v>2568</v>
      </c>
      <c r="F10" s="207"/>
      <c r="G10" s="106" t="s">
        <v>69</v>
      </c>
      <c r="H10" s="113" t="s">
        <v>105</v>
      </c>
      <c r="I10" s="232" t="s">
        <v>106</v>
      </c>
      <c r="J10" s="232" t="s">
        <v>107</v>
      </c>
      <c r="K10" s="232"/>
      <c r="L10" s="232" t="s">
        <v>100</v>
      </c>
      <c r="M10" s="233" t="s">
        <v>74</v>
      </c>
      <c r="N10" s="232" t="s">
        <v>108</v>
      </c>
      <c r="O10" s="232" t="s">
        <v>76</v>
      </c>
      <c r="P10" s="115"/>
      <c r="Q10" s="273" t="s">
        <v>78</v>
      </c>
      <c r="R10" s="273" t="s">
        <v>79</v>
      </c>
      <c r="S10" s="273" t="s">
        <v>79</v>
      </c>
      <c r="T10" s="273" t="s">
        <v>79</v>
      </c>
      <c r="U10" s="273" t="s">
        <v>79</v>
      </c>
    </row>
    <row r="11" spans="1:21" ht="52.5" hidden="1">
      <c r="A11" s="96"/>
      <c r="B11" s="180"/>
      <c r="C11" s="91"/>
      <c r="D11" s="97">
        <v>0.04</v>
      </c>
      <c r="E11" s="208">
        <v>2567</v>
      </c>
      <c r="F11" s="207"/>
      <c r="G11" s="106" t="s">
        <v>109</v>
      </c>
      <c r="H11" s="113" t="s">
        <v>110</v>
      </c>
      <c r="I11" s="236"/>
      <c r="J11" s="236"/>
      <c r="K11" s="232"/>
      <c r="L11" s="236"/>
      <c r="M11" s="236"/>
      <c r="N11" s="232"/>
      <c r="O11" s="236"/>
      <c r="P11" s="115"/>
      <c r="Q11" s="216"/>
      <c r="R11" s="217"/>
      <c r="S11" s="225"/>
      <c r="T11" s="265"/>
      <c r="U11" s="265"/>
    </row>
    <row r="12" spans="1:21" ht="84" customHeight="1">
      <c r="A12" s="96"/>
      <c r="B12" s="180"/>
      <c r="C12" s="183" t="s">
        <v>20</v>
      </c>
      <c r="D12" s="97">
        <v>0.02</v>
      </c>
      <c r="E12" s="208">
        <v>2568</v>
      </c>
      <c r="F12" s="207"/>
      <c r="G12" s="106" t="s">
        <v>69</v>
      </c>
      <c r="H12" s="113" t="s">
        <v>111</v>
      </c>
      <c r="I12" s="232" t="s">
        <v>106</v>
      </c>
      <c r="J12" s="232" t="s">
        <v>107</v>
      </c>
      <c r="K12" s="232"/>
      <c r="L12" s="232" t="s">
        <v>100</v>
      </c>
      <c r="M12" s="233" t="s">
        <v>74</v>
      </c>
      <c r="N12" s="232" t="s">
        <v>108</v>
      </c>
      <c r="O12" s="232" t="s">
        <v>76</v>
      </c>
      <c r="P12" s="116"/>
      <c r="Q12" s="273" t="s">
        <v>78</v>
      </c>
      <c r="R12" s="273" t="s">
        <v>79</v>
      </c>
      <c r="S12" s="273" t="s">
        <v>79</v>
      </c>
      <c r="T12" s="273" t="s">
        <v>79</v>
      </c>
      <c r="U12" s="273" t="s">
        <v>79</v>
      </c>
    </row>
    <row r="13" spans="1:21" ht="52.5" hidden="1">
      <c r="A13" s="96"/>
      <c r="B13" s="180"/>
      <c r="C13" s="91"/>
      <c r="D13" s="97">
        <v>0.02</v>
      </c>
      <c r="E13" s="208">
        <v>2567</v>
      </c>
      <c r="F13" s="207"/>
      <c r="G13" s="106" t="s">
        <v>109</v>
      </c>
      <c r="H13" s="113" t="s">
        <v>112</v>
      </c>
      <c r="I13" s="236"/>
      <c r="J13" s="236"/>
      <c r="K13" s="232"/>
      <c r="L13" s="236"/>
      <c r="M13" s="236"/>
      <c r="N13" s="232"/>
      <c r="O13" s="236"/>
      <c r="P13" s="114"/>
      <c r="Q13" s="266"/>
      <c r="R13" s="262"/>
      <c r="S13" s="263"/>
      <c r="T13" s="264"/>
      <c r="U13" s="264"/>
    </row>
    <row r="14" spans="1:21" ht="61.5" customHeight="1">
      <c r="A14" s="96"/>
      <c r="B14" s="180"/>
      <c r="C14" s="183" t="s">
        <v>21</v>
      </c>
      <c r="D14" s="97">
        <v>0.02</v>
      </c>
      <c r="E14" s="208">
        <v>2568</v>
      </c>
      <c r="F14" s="207"/>
      <c r="G14" s="106" t="s">
        <v>69</v>
      </c>
      <c r="H14" s="113" t="s">
        <v>113</v>
      </c>
      <c r="I14" s="232" t="s">
        <v>114</v>
      </c>
      <c r="J14" s="232" t="s">
        <v>115</v>
      </c>
      <c r="K14" s="232" t="s">
        <v>116</v>
      </c>
      <c r="L14" s="232" t="s">
        <v>100</v>
      </c>
      <c r="M14" s="233" t="s">
        <v>91</v>
      </c>
      <c r="N14" s="232" t="s">
        <v>117</v>
      </c>
      <c r="O14" s="232" t="s">
        <v>76</v>
      </c>
      <c r="P14" s="114"/>
      <c r="Q14" s="273" t="s">
        <v>78</v>
      </c>
      <c r="R14" s="273" t="s">
        <v>79</v>
      </c>
      <c r="S14" s="273" t="s">
        <v>79</v>
      </c>
      <c r="T14" s="273" t="s">
        <v>79</v>
      </c>
      <c r="U14" s="273" t="s">
        <v>79</v>
      </c>
    </row>
    <row r="15" spans="1:21" ht="87.6" hidden="1">
      <c r="A15" s="96"/>
      <c r="B15" s="180"/>
      <c r="C15" s="183"/>
      <c r="D15" s="97">
        <v>0.02</v>
      </c>
      <c r="E15" s="208">
        <v>2567</v>
      </c>
      <c r="F15" s="207"/>
      <c r="G15" s="106" t="s">
        <v>69</v>
      </c>
      <c r="H15" s="113" t="s">
        <v>118</v>
      </c>
      <c r="I15" s="238"/>
      <c r="J15" s="238"/>
      <c r="K15" s="232"/>
      <c r="L15" s="238"/>
      <c r="M15" s="238"/>
      <c r="N15" s="232"/>
      <c r="O15" s="238"/>
      <c r="P15" s="115"/>
      <c r="Q15" s="216"/>
      <c r="R15" s="217"/>
      <c r="S15" s="225"/>
      <c r="T15" s="265"/>
      <c r="U15" s="265"/>
    </row>
    <row r="16" spans="1:21" ht="174.95" customHeight="1">
      <c r="A16" s="209" t="s">
        <v>119</v>
      </c>
      <c r="B16" s="180">
        <v>0.15</v>
      </c>
      <c r="C16" s="95" t="s">
        <v>24</v>
      </c>
      <c r="D16" s="97">
        <v>0</v>
      </c>
      <c r="E16" s="208">
        <v>2568</v>
      </c>
      <c r="F16" s="210">
        <f>'ประมาณการคะแนน หัวข้อ RM&amp;IC'!N13</f>
        <v>3.3332999999999999</v>
      </c>
      <c r="G16" s="106"/>
      <c r="H16" s="113"/>
      <c r="I16" s="232"/>
      <c r="J16" s="238"/>
      <c r="K16" s="232"/>
      <c r="L16" s="232"/>
      <c r="M16" s="233"/>
      <c r="N16" s="232"/>
      <c r="O16" s="232"/>
      <c r="P16" s="115"/>
      <c r="Q16" s="273"/>
      <c r="R16" s="273"/>
      <c r="S16" s="273"/>
      <c r="T16" s="273"/>
      <c r="U16" s="273"/>
    </row>
    <row r="17" spans="1:21" ht="35.1" hidden="1">
      <c r="B17" s="180">
        <v>0.15</v>
      </c>
      <c r="C17" s="95" t="s">
        <v>24</v>
      </c>
      <c r="D17" s="97">
        <v>0</v>
      </c>
      <c r="E17" s="208">
        <v>2567</v>
      </c>
      <c r="F17" s="210">
        <f>'ประมาณการคะแนน หัวข้อ RM&amp;IC'!H13</f>
        <v>2.6666666666666665</v>
      </c>
      <c r="G17" s="106"/>
      <c r="H17" s="113"/>
      <c r="I17" s="238"/>
      <c r="J17" s="238"/>
      <c r="K17" s="232"/>
      <c r="L17" s="238"/>
      <c r="M17" s="238"/>
      <c r="N17" s="232"/>
      <c r="O17" s="238"/>
      <c r="P17" s="115"/>
      <c r="Q17" s="216"/>
      <c r="R17" s="217"/>
      <c r="S17" s="225"/>
      <c r="T17" s="265"/>
      <c r="U17" s="265"/>
    </row>
    <row r="18" spans="1:21" ht="90.4" hidden="1" customHeight="1">
      <c r="A18" s="96"/>
      <c r="B18" s="180"/>
      <c r="C18" s="95" t="s">
        <v>25</v>
      </c>
      <c r="D18" s="98">
        <v>0.05</v>
      </c>
      <c r="E18" s="208">
        <v>2567</v>
      </c>
      <c r="F18" s="211"/>
      <c r="G18" s="106" t="s">
        <v>86</v>
      </c>
      <c r="H18" s="222" t="s">
        <v>120</v>
      </c>
      <c r="I18" s="239"/>
      <c r="J18" s="239"/>
      <c r="K18" s="232"/>
      <c r="L18" s="239"/>
      <c r="M18" s="239"/>
      <c r="N18" s="232"/>
      <c r="O18" s="239"/>
      <c r="P18" s="240"/>
      <c r="Q18" s="241"/>
      <c r="R18" s="242"/>
      <c r="S18" s="243"/>
      <c r="T18" s="244"/>
      <c r="U18" s="244"/>
    </row>
    <row r="19" spans="1:21" ht="90.4" hidden="1" customHeight="1">
      <c r="A19" s="96"/>
      <c r="B19" s="180"/>
      <c r="C19" s="95" t="s">
        <v>26</v>
      </c>
      <c r="D19" s="98">
        <v>0</v>
      </c>
      <c r="E19" s="205">
        <v>2567</v>
      </c>
      <c r="F19" s="211"/>
      <c r="G19" s="106"/>
      <c r="H19" s="113"/>
      <c r="I19" s="239"/>
      <c r="J19" s="239"/>
      <c r="K19" s="232"/>
      <c r="L19" s="239"/>
      <c r="M19" s="239"/>
      <c r="N19" s="232"/>
      <c r="O19" s="239"/>
      <c r="P19" s="240"/>
      <c r="Q19" s="241"/>
      <c r="R19" s="242"/>
      <c r="S19" s="243"/>
      <c r="T19" s="244"/>
      <c r="U19" s="244"/>
    </row>
    <row r="20" spans="1:21" ht="90.4" customHeight="1">
      <c r="A20" s="96"/>
      <c r="B20" s="180"/>
      <c r="C20" s="95" t="s">
        <v>27</v>
      </c>
      <c r="D20" s="98">
        <v>0.1</v>
      </c>
      <c r="E20" s="205">
        <v>2568</v>
      </c>
      <c r="F20" s="211"/>
      <c r="G20" s="106" t="s">
        <v>69</v>
      </c>
      <c r="H20" s="113" t="s">
        <v>121</v>
      </c>
      <c r="I20" s="232" t="s">
        <v>114</v>
      </c>
      <c r="J20" s="232" t="s">
        <v>122</v>
      </c>
      <c r="K20" s="232"/>
      <c r="L20" s="232" t="s">
        <v>90</v>
      </c>
      <c r="M20" s="233" t="s">
        <v>74</v>
      </c>
      <c r="N20" s="232" t="s">
        <v>123</v>
      </c>
      <c r="O20" s="232" t="s">
        <v>76</v>
      </c>
      <c r="P20" s="115"/>
      <c r="Q20" s="273"/>
      <c r="R20" s="273" t="s">
        <v>79</v>
      </c>
      <c r="S20" s="273" t="s">
        <v>79</v>
      </c>
      <c r="T20" s="273" t="s">
        <v>79</v>
      </c>
      <c r="U20" s="273" t="s">
        <v>79</v>
      </c>
    </row>
    <row r="21" spans="1:21" ht="158.65" hidden="1" customHeight="1">
      <c r="A21" s="96"/>
      <c r="B21" s="180"/>
      <c r="C21" s="91"/>
      <c r="D21" s="98">
        <v>0.1</v>
      </c>
      <c r="E21" s="208">
        <v>2567</v>
      </c>
      <c r="F21" s="211"/>
      <c r="G21" s="106" t="s">
        <v>86</v>
      </c>
      <c r="H21" s="221" t="s">
        <v>124</v>
      </c>
      <c r="I21" s="236"/>
      <c r="J21" s="236"/>
      <c r="K21" s="232"/>
      <c r="L21" s="236"/>
      <c r="M21" s="236"/>
      <c r="N21" s="232"/>
      <c r="O21" s="236"/>
      <c r="P21" s="115"/>
      <c r="Q21" s="216"/>
      <c r="R21" s="217"/>
      <c r="S21" s="225"/>
      <c r="T21" s="225"/>
      <c r="U21" s="225"/>
    </row>
    <row r="22" spans="1:21" ht="71.650000000000006" hidden="1" customHeight="1">
      <c r="A22" s="96"/>
      <c r="B22" s="180"/>
      <c r="C22" s="95"/>
      <c r="D22" s="98">
        <v>0.1</v>
      </c>
      <c r="E22" s="205">
        <v>2567</v>
      </c>
      <c r="F22" s="211"/>
      <c r="G22" s="106" t="s">
        <v>86</v>
      </c>
      <c r="H22" s="113" t="s">
        <v>125</v>
      </c>
      <c r="I22" s="236"/>
      <c r="J22" s="236"/>
      <c r="K22" s="232"/>
      <c r="L22" s="236"/>
      <c r="M22" s="236"/>
      <c r="N22" s="232"/>
      <c r="O22" s="236"/>
      <c r="P22" s="245"/>
      <c r="Q22" s="110"/>
      <c r="R22" s="246"/>
      <c r="S22" s="108"/>
      <c r="T22" s="108"/>
      <c r="U22" s="108"/>
    </row>
    <row r="23" spans="1:21" ht="97.9" hidden="1" customHeight="1">
      <c r="A23" s="96"/>
      <c r="B23" s="180"/>
      <c r="C23" s="95"/>
      <c r="D23" s="98">
        <v>0.1</v>
      </c>
      <c r="E23" s="205">
        <v>2567</v>
      </c>
      <c r="F23" s="211"/>
      <c r="G23" s="106" t="s">
        <v>86</v>
      </c>
      <c r="H23" s="222" t="s">
        <v>126</v>
      </c>
      <c r="I23" s="236"/>
      <c r="J23" s="236"/>
      <c r="K23" s="232"/>
      <c r="L23" s="236"/>
      <c r="M23" s="236"/>
      <c r="N23" s="232"/>
      <c r="O23" s="236"/>
      <c r="P23" s="247"/>
      <c r="Q23" s="109"/>
      <c r="R23" s="109"/>
      <c r="S23" s="108"/>
      <c r="T23" s="108"/>
      <c r="U23" s="108"/>
    </row>
    <row r="24" spans="1:21" ht="60" hidden="1" customHeight="1">
      <c r="A24" s="96"/>
      <c r="B24" s="180"/>
      <c r="C24" s="95"/>
      <c r="D24" s="98">
        <v>0.1</v>
      </c>
      <c r="E24" s="205"/>
      <c r="F24" s="211"/>
      <c r="G24" s="106" t="s">
        <v>69</v>
      </c>
      <c r="H24" s="227" t="s">
        <v>127</v>
      </c>
      <c r="I24" s="236"/>
      <c r="J24" s="236"/>
      <c r="K24" s="232"/>
      <c r="L24" s="236"/>
      <c r="M24" s="236"/>
      <c r="N24" s="232"/>
      <c r="O24" s="236"/>
      <c r="P24" s="245"/>
      <c r="Q24" s="113"/>
      <c r="R24" s="113"/>
      <c r="S24" s="248"/>
      <c r="T24" s="248"/>
      <c r="U24" s="248"/>
    </row>
    <row r="25" spans="1:21" ht="76.5" customHeight="1">
      <c r="A25" s="209" t="s">
        <v>128</v>
      </c>
      <c r="B25" s="180">
        <v>0.35</v>
      </c>
      <c r="C25" s="183" t="s">
        <v>29</v>
      </c>
      <c r="D25" s="97">
        <v>0.05</v>
      </c>
      <c r="E25" s="205">
        <v>2568</v>
      </c>
      <c r="F25" s="210">
        <f>'ประมาณการคะแนน หัวข้อ RM&amp;IC'!N20</f>
        <v>3.8571</v>
      </c>
      <c r="G25" s="106"/>
      <c r="H25" s="229"/>
      <c r="I25" s="232"/>
      <c r="J25" s="232"/>
      <c r="K25" s="232"/>
      <c r="L25" s="232"/>
      <c r="M25" s="233"/>
      <c r="N25" s="232"/>
      <c r="O25" s="232" t="s">
        <v>76</v>
      </c>
      <c r="P25" s="114"/>
      <c r="Q25" s="273"/>
      <c r="R25" s="273" t="s">
        <v>79</v>
      </c>
      <c r="S25" s="273" t="s">
        <v>79</v>
      </c>
      <c r="T25" s="273" t="s">
        <v>79</v>
      </c>
      <c r="U25" s="273" t="s">
        <v>79</v>
      </c>
    </row>
    <row r="26" spans="1:21" ht="100.9" hidden="1" customHeight="1">
      <c r="A26" s="228"/>
      <c r="B26" s="228"/>
      <c r="C26" s="228"/>
      <c r="D26" s="91"/>
      <c r="E26" s="208">
        <v>2567</v>
      </c>
      <c r="F26" s="210">
        <f>'ประมาณการคะแนน หัวข้อ RM&amp;IC'!H20</f>
        <v>3.5142857142857142</v>
      </c>
      <c r="G26" s="106" t="s">
        <v>86</v>
      </c>
      <c r="H26" s="222" t="s">
        <v>129</v>
      </c>
      <c r="I26" s="236"/>
      <c r="J26" s="236"/>
      <c r="K26" s="232"/>
      <c r="L26" s="236"/>
      <c r="M26" s="236"/>
      <c r="N26" s="232"/>
      <c r="O26" s="236"/>
      <c r="P26" s="114"/>
      <c r="Q26" s="267"/>
      <c r="R26" s="268"/>
      <c r="S26" s="269"/>
      <c r="T26" s="237"/>
      <c r="U26" s="237"/>
    </row>
    <row r="27" spans="1:21" ht="100.9" hidden="1" customHeight="1">
      <c r="A27" s="209"/>
      <c r="B27" s="180"/>
      <c r="C27" s="183"/>
      <c r="D27" s="98">
        <v>0.05</v>
      </c>
      <c r="E27" s="208"/>
      <c r="F27" s="210"/>
      <c r="G27" s="106" t="s">
        <v>69</v>
      </c>
      <c r="H27" s="227" t="s">
        <v>130</v>
      </c>
      <c r="I27" s="236"/>
      <c r="J27" s="236"/>
      <c r="K27" s="232"/>
      <c r="L27" s="236"/>
      <c r="M27" s="236"/>
      <c r="N27" s="232"/>
      <c r="O27" s="236"/>
      <c r="P27" s="250"/>
      <c r="Q27" s="251"/>
      <c r="R27" s="249"/>
      <c r="S27" s="252"/>
      <c r="T27" s="252"/>
      <c r="U27" s="252"/>
    </row>
    <row r="28" spans="1:21" ht="167.65" hidden="1" customHeight="1">
      <c r="A28" s="96"/>
      <c r="B28" s="180"/>
      <c r="C28" s="183" t="s">
        <v>30</v>
      </c>
      <c r="D28" s="97">
        <v>0.05</v>
      </c>
      <c r="E28" s="205">
        <v>2567</v>
      </c>
      <c r="F28" s="211"/>
      <c r="G28" s="106" t="s">
        <v>86</v>
      </c>
      <c r="H28" s="113" t="s">
        <v>131</v>
      </c>
      <c r="I28" s="236"/>
      <c r="J28" s="236"/>
      <c r="K28" s="232"/>
      <c r="L28" s="236"/>
      <c r="M28" s="236"/>
      <c r="N28" s="232"/>
      <c r="O28" s="236"/>
      <c r="P28" s="114"/>
      <c r="Q28" s="253"/>
      <c r="R28" s="254"/>
      <c r="S28" s="255"/>
      <c r="T28" s="255"/>
      <c r="U28" s="255"/>
    </row>
    <row r="29" spans="1:21" ht="105" hidden="1">
      <c r="A29" s="96"/>
      <c r="B29" s="180"/>
      <c r="C29" s="183"/>
      <c r="D29" s="97">
        <v>0.05</v>
      </c>
      <c r="E29" s="205">
        <v>2567</v>
      </c>
      <c r="F29" s="211"/>
      <c r="G29" s="106" t="s">
        <v>86</v>
      </c>
      <c r="H29" s="222" t="s">
        <v>132</v>
      </c>
      <c r="K29" s="232"/>
      <c r="N29" s="232"/>
      <c r="P29" s="102" t="s">
        <v>133</v>
      </c>
      <c r="Q29" s="103" t="e">
        <f>AVERAGE(Q2:Q28)</f>
        <v>#DIV/0!</v>
      </c>
      <c r="R29" s="103" t="e">
        <f>AVERAGE(R2:R28)</f>
        <v>#DIV/0!</v>
      </c>
      <c r="S29" s="105" t="e">
        <f>AVERAGE(S2:S28)</f>
        <v>#DIV/0!</v>
      </c>
      <c r="T29" s="256"/>
      <c r="U29" s="256"/>
    </row>
    <row r="30" spans="1:21" ht="75" hidden="1" customHeight="1">
      <c r="A30" s="96"/>
      <c r="B30" s="180"/>
      <c r="C30" s="183"/>
      <c r="D30" s="97">
        <v>0.05</v>
      </c>
      <c r="E30" s="205"/>
      <c r="F30" s="211"/>
      <c r="G30" s="106" t="s">
        <v>69</v>
      </c>
      <c r="H30" s="227" t="s">
        <v>134</v>
      </c>
      <c r="K30" s="232"/>
      <c r="N30" s="232"/>
    </row>
    <row r="31" spans="1:21" ht="90.4" hidden="1" customHeight="1">
      <c r="A31" s="96"/>
      <c r="B31" s="180"/>
      <c r="C31" s="192" t="s">
        <v>31</v>
      </c>
      <c r="D31" s="97">
        <v>0.05</v>
      </c>
      <c r="E31" s="205">
        <v>2567</v>
      </c>
      <c r="F31" s="211"/>
      <c r="G31" s="106" t="s">
        <v>86</v>
      </c>
      <c r="H31" s="222" t="s">
        <v>135</v>
      </c>
      <c r="K31" s="232"/>
      <c r="N31" s="232"/>
    </row>
    <row r="32" spans="1:21" ht="90.4" hidden="1" customHeight="1">
      <c r="A32" s="96"/>
      <c r="B32" s="180"/>
      <c r="C32" s="192"/>
      <c r="D32" s="97">
        <v>0.05</v>
      </c>
      <c r="E32" s="205"/>
      <c r="F32" s="211"/>
      <c r="G32" s="106" t="s">
        <v>69</v>
      </c>
      <c r="H32" s="227" t="s">
        <v>136</v>
      </c>
      <c r="K32" s="232"/>
      <c r="N32" s="232"/>
    </row>
    <row r="33" spans="1:21" ht="160.9" hidden="1" customHeight="1">
      <c r="A33" s="96"/>
      <c r="B33" s="180"/>
      <c r="C33" s="192" t="s">
        <v>32</v>
      </c>
      <c r="D33" s="97">
        <v>0.03</v>
      </c>
      <c r="E33" s="205">
        <v>2567</v>
      </c>
      <c r="F33" s="211"/>
      <c r="G33" s="106" t="s">
        <v>86</v>
      </c>
      <c r="H33" s="222" t="s">
        <v>137</v>
      </c>
      <c r="K33" s="232"/>
      <c r="N33" s="232"/>
    </row>
    <row r="34" spans="1:21" ht="85.5" hidden="1" customHeight="1">
      <c r="A34" s="96"/>
      <c r="B34" s="180"/>
      <c r="C34" s="192"/>
      <c r="D34" s="97">
        <v>0.03</v>
      </c>
      <c r="E34" s="205"/>
      <c r="F34" s="211"/>
      <c r="G34" s="106" t="s">
        <v>69</v>
      </c>
      <c r="H34" s="227" t="s">
        <v>136</v>
      </c>
      <c r="K34" s="232"/>
      <c r="N34" s="232"/>
    </row>
    <row r="35" spans="1:21" ht="85.5" customHeight="1">
      <c r="A35" s="96"/>
      <c r="B35" s="180"/>
      <c r="C35" s="192" t="s">
        <v>33</v>
      </c>
      <c r="D35" s="97">
        <v>0.05</v>
      </c>
      <c r="E35" s="205">
        <v>2568</v>
      </c>
      <c r="F35" s="211"/>
      <c r="G35" s="106" t="s">
        <v>69</v>
      </c>
      <c r="H35" s="227" t="s">
        <v>138</v>
      </c>
      <c r="I35" s="232" t="s">
        <v>81</v>
      </c>
      <c r="J35" s="232" t="s">
        <v>139</v>
      </c>
      <c r="K35" s="232" t="s">
        <v>140</v>
      </c>
      <c r="L35" s="113" t="s">
        <v>100</v>
      </c>
      <c r="M35" s="233" t="s">
        <v>91</v>
      </c>
      <c r="N35" s="232" t="s">
        <v>141</v>
      </c>
      <c r="O35" s="232" t="s">
        <v>76</v>
      </c>
      <c r="P35" s="272"/>
      <c r="Q35" s="273"/>
      <c r="R35" s="273" t="s">
        <v>79</v>
      </c>
      <c r="S35" s="273" t="s">
        <v>79</v>
      </c>
      <c r="T35" s="273" t="s">
        <v>79</v>
      </c>
      <c r="U35" s="273" t="s">
        <v>79</v>
      </c>
    </row>
    <row r="36" spans="1:21" ht="204" hidden="1" customHeight="1">
      <c r="A36" s="96"/>
      <c r="B36" s="180"/>
      <c r="C36" s="228"/>
      <c r="D36" s="228"/>
      <c r="E36" s="205">
        <v>2567</v>
      </c>
      <c r="F36" s="211"/>
      <c r="G36" s="106" t="s">
        <v>86</v>
      </c>
      <c r="H36" s="113" t="s">
        <v>142</v>
      </c>
      <c r="K36" s="232"/>
      <c r="N36" s="232" t="s">
        <v>143</v>
      </c>
    </row>
    <row r="37" spans="1:21" ht="90.4" hidden="1" customHeight="1">
      <c r="A37" s="96"/>
      <c r="B37" s="180"/>
      <c r="C37" s="192"/>
      <c r="D37" s="97">
        <v>0.05</v>
      </c>
      <c r="E37" s="205">
        <v>2567</v>
      </c>
      <c r="F37" s="211"/>
      <c r="G37" s="106" t="s">
        <v>86</v>
      </c>
      <c r="H37" s="222" t="s">
        <v>144</v>
      </c>
      <c r="K37" s="232"/>
      <c r="N37" s="232"/>
    </row>
    <row r="38" spans="1:21" ht="90.4" hidden="1" customHeight="1">
      <c r="A38" s="96"/>
      <c r="B38" s="180"/>
      <c r="C38" s="192"/>
      <c r="D38" s="97">
        <v>0.05</v>
      </c>
      <c r="E38" s="205"/>
      <c r="F38" s="211"/>
      <c r="G38" s="106" t="s">
        <v>69</v>
      </c>
      <c r="H38" s="227" t="s">
        <v>145</v>
      </c>
      <c r="K38" s="232"/>
      <c r="N38" s="232"/>
    </row>
    <row r="39" spans="1:21" ht="114.95" customHeight="1">
      <c r="A39" s="96"/>
      <c r="B39" s="180"/>
      <c r="C39" s="192" t="s">
        <v>34</v>
      </c>
      <c r="D39" s="97">
        <v>0.12</v>
      </c>
      <c r="E39" s="205">
        <v>2568</v>
      </c>
      <c r="F39" s="211"/>
      <c r="G39" s="106" t="s">
        <v>69</v>
      </c>
      <c r="H39" s="270" t="s">
        <v>146</v>
      </c>
      <c r="I39" s="232" t="s">
        <v>114</v>
      </c>
      <c r="J39" s="232" t="s">
        <v>122</v>
      </c>
      <c r="K39" s="232"/>
      <c r="L39" s="113" t="s">
        <v>73</v>
      </c>
      <c r="M39" s="233" t="s">
        <v>74</v>
      </c>
      <c r="N39" s="232" t="s">
        <v>147</v>
      </c>
      <c r="O39" s="232" t="s">
        <v>76</v>
      </c>
      <c r="P39" s="272"/>
      <c r="Q39" s="273"/>
      <c r="R39" s="273" t="s">
        <v>79</v>
      </c>
      <c r="S39" s="273" t="s">
        <v>79</v>
      </c>
      <c r="T39" s="273" t="s">
        <v>79</v>
      </c>
      <c r="U39" s="273" t="s">
        <v>79</v>
      </c>
    </row>
    <row r="40" spans="1:21" ht="101.45" customHeight="1">
      <c r="A40" s="96"/>
      <c r="B40" s="180"/>
      <c r="C40" s="192" t="s">
        <v>34</v>
      </c>
      <c r="D40" s="97">
        <v>0.12</v>
      </c>
      <c r="E40" s="205">
        <v>2568</v>
      </c>
      <c r="F40" s="211"/>
      <c r="G40" s="106" t="s">
        <v>69</v>
      </c>
      <c r="H40" s="227" t="s">
        <v>148</v>
      </c>
      <c r="I40" s="232" t="s">
        <v>114</v>
      </c>
      <c r="J40" s="232" t="s">
        <v>122</v>
      </c>
      <c r="K40" s="232"/>
      <c r="L40" s="113" t="s">
        <v>73</v>
      </c>
      <c r="M40" s="233" t="s">
        <v>74</v>
      </c>
      <c r="N40" s="232" t="s">
        <v>149</v>
      </c>
      <c r="O40" s="232" t="s">
        <v>76</v>
      </c>
      <c r="P40" s="272"/>
      <c r="Q40" s="273"/>
      <c r="R40" s="273" t="s">
        <v>79</v>
      </c>
      <c r="S40" s="273" t="s">
        <v>79</v>
      </c>
      <c r="T40" s="273" t="s">
        <v>79</v>
      </c>
      <c r="U40" s="273" t="s">
        <v>79</v>
      </c>
    </row>
    <row r="41" spans="1:21" ht="137.65" hidden="1" customHeight="1">
      <c r="A41" s="96"/>
      <c r="B41" s="180"/>
      <c r="C41" s="228"/>
      <c r="D41" s="97">
        <v>0.12</v>
      </c>
      <c r="E41" s="208">
        <v>2567</v>
      </c>
      <c r="F41" s="211"/>
      <c r="G41" s="106" t="s">
        <v>86</v>
      </c>
      <c r="H41" s="222" t="s">
        <v>150</v>
      </c>
      <c r="K41" s="232"/>
      <c r="N41" s="232"/>
    </row>
    <row r="42" spans="1:21" ht="105" hidden="1" customHeight="1">
      <c r="A42" s="96"/>
      <c r="B42" s="180"/>
      <c r="C42" s="220" t="s">
        <v>34</v>
      </c>
      <c r="D42" s="97">
        <v>0.12</v>
      </c>
      <c r="E42" s="205">
        <v>2567</v>
      </c>
      <c r="F42" s="211"/>
      <c r="G42" s="106" t="s">
        <v>109</v>
      </c>
      <c r="H42" s="113" t="s">
        <v>151</v>
      </c>
      <c r="K42" s="232"/>
      <c r="N42" s="232"/>
    </row>
    <row r="43" spans="1:21" ht="105" hidden="1" customHeight="1">
      <c r="A43" s="96"/>
      <c r="B43" s="180"/>
      <c r="C43" s="220"/>
      <c r="D43" s="97">
        <v>0.12</v>
      </c>
      <c r="E43" s="205"/>
      <c r="F43" s="211"/>
      <c r="G43" s="106" t="s">
        <v>69</v>
      </c>
      <c r="H43" s="229" t="s">
        <v>152</v>
      </c>
      <c r="K43" s="232"/>
      <c r="N43" s="232"/>
    </row>
    <row r="44" spans="1:21" ht="105" customHeight="1">
      <c r="A44" s="96" t="s">
        <v>153</v>
      </c>
      <c r="B44" s="180">
        <v>0.15</v>
      </c>
      <c r="C44" s="183" t="s">
        <v>36</v>
      </c>
      <c r="D44" s="97">
        <v>0.1</v>
      </c>
      <c r="E44" s="205">
        <v>2568</v>
      </c>
      <c r="F44" s="210">
        <f>'ประมาณการคะแนน หัวข้อ RM&amp;IC'!N24</f>
        <v>3.3332999999999999</v>
      </c>
      <c r="G44" s="106" t="s">
        <v>69</v>
      </c>
      <c r="H44" s="270" t="s">
        <v>121</v>
      </c>
      <c r="I44" s="232" t="s">
        <v>114</v>
      </c>
      <c r="J44" s="232" t="s">
        <v>122</v>
      </c>
      <c r="K44" s="232"/>
      <c r="L44" s="113" t="s">
        <v>90</v>
      </c>
      <c r="M44" s="233" t="s">
        <v>74</v>
      </c>
      <c r="N44" s="232" t="s">
        <v>123</v>
      </c>
      <c r="O44" s="232" t="s">
        <v>76</v>
      </c>
      <c r="P44" s="272"/>
      <c r="Q44" s="273"/>
      <c r="R44" s="273" t="s">
        <v>79</v>
      </c>
      <c r="S44" s="273" t="s">
        <v>79</v>
      </c>
      <c r="T44" s="273" t="s">
        <v>79</v>
      </c>
      <c r="U44" s="273" t="s">
        <v>79</v>
      </c>
    </row>
    <row r="45" spans="1:21" ht="157.5" hidden="1">
      <c r="A45" s="228"/>
      <c r="B45" s="228"/>
      <c r="C45" s="228"/>
      <c r="D45" s="97">
        <v>0.1</v>
      </c>
      <c r="E45" s="205">
        <v>2567</v>
      </c>
      <c r="F45" s="210">
        <f>'ประมาณการคะแนน หัวข้อ RM&amp;IC'!H24</f>
        <v>2.3333333333333335</v>
      </c>
      <c r="G45" s="106" t="s">
        <v>86</v>
      </c>
      <c r="H45" s="222" t="s">
        <v>154</v>
      </c>
      <c r="J45" s="232"/>
      <c r="K45" s="232"/>
      <c r="N45" s="232"/>
    </row>
    <row r="46" spans="1:21" ht="96" hidden="1" customHeight="1">
      <c r="A46" s="96"/>
      <c r="B46" s="180"/>
      <c r="C46" s="183"/>
      <c r="D46" s="97">
        <v>0.1</v>
      </c>
      <c r="E46" s="205">
        <v>2567</v>
      </c>
      <c r="F46" s="211"/>
      <c r="G46" s="106" t="s">
        <v>86</v>
      </c>
      <c r="H46" s="221" t="s">
        <v>155</v>
      </c>
      <c r="J46" s="232"/>
      <c r="K46" s="232"/>
      <c r="N46" s="232"/>
    </row>
    <row r="47" spans="1:21" ht="99" hidden="1" customHeight="1">
      <c r="A47" s="96"/>
      <c r="B47" s="180"/>
      <c r="C47" s="183"/>
      <c r="D47" s="97">
        <v>0.1</v>
      </c>
      <c r="E47" s="205">
        <v>2567</v>
      </c>
      <c r="F47" s="211"/>
      <c r="G47" s="106" t="s">
        <v>86</v>
      </c>
      <c r="H47" s="222" t="s">
        <v>156</v>
      </c>
      <c r="J47" s="232"/>
      <c r="K47" s="232"/>
      <c r="N47" s="232"/>
    </row>
    <row r="48" spans="1:21" ht="99" hidden="1" customHeight="1">
      <c r="A48" s="96"/>
      <c r="B48" s="180"/>
      <c r="C48" s="183"/>
      <c r="D48" s="97">
        <v>0.1</v>
      </c>
      <c r="E48" s="205"/>
      <c r="F48" s="211"/>
      <c r="G48" s="106" t="s">
        <v>69</v>
      </c>
      <c r="H48" s="222" t="s">
        <v>127</v>
      </c>
      <c r="J48" s="232"/>
      <c r="K48" s="232"/>
      <c r="N48" s="232"/>
    </row>
    <row r="49" spans="1:21" ht="122.45" hidden="1">
      <c r="A49" s="96"/>
      <c r="B49" s="180"/>
      <c r="C49" s="183" t="s">
        <v>37</v>
      </c>
      <c r="D49" s="97">
        <v>0.05</v>
      </c>
      <c r="E49" s="205">
        <v>2567</v>
      </c>
      <c r="F49" s="211"/>
      <c r="G49" s="106" t="s">
        <v>86</v>
      </c>
      <c r="H49" s="222" t="s">
        <v>157</v>
      </c>
      <c r="J49" s="232"/>
      <c r="K49" s="232"/>
      <c r="N49" s="232"/>
    </row>
    <row r="50" spans="1:21" ht="132.4" hidden="1" customHeight="1">
      <c r="A50" s="96"/>
      <c r="B50" s="180"/>
      <c r="C50" s="183"/>
      <c r="D50" s="97">
        <v>0.05</v>
      </c>
      <c r="E50" s="205">
        <v>2567</v>
      </c>
      <c r="F50" s="211"/>
      <c r="G50" s="106" t="s">
        <v>86</v>
      </c>
      <c r="H50" s="221" t="s">
        <v>158</v>
      </c>
      <c r="J50" s="232"/>
      <c r="K50" s="232"/>
      <c r="N50" s="232"/>
    </row>
    <row r="51" spans="1:21" ht="91.15" hidden="1" customHeight="1">
      <c r="A51" s="96"/>
      <c r="B51" s="180"/>
      <c r="C51" s="183"/>
      <c r="D51" s="97">
        <v>0.05</v>
      </c>
      <c r="E51" s="205">
        <v>2567</v>
      </c>
      <c r="F51" s="211"/>
      <c r="G51" s="106" t="s">
        <v>86</v>
      </c>
      <c r="H51" s="222" t="s">
        <v>159</v>
      </c>
      <c r="J51" s="232"/>
      <c r="K51" s="232"/>
      <c r="N51" s="232"/>
    </row>
    <row r="52" spans="1:21" ht="91.15" hidden="1" customHeight="1">
      <c r="A52" s="96"/>
      <c r="B52" s="180"/>
      <c r="C52" s="183"/>
      <c r="D52" s="97">
        <v>0.05</v>
      </c>
      <c r="E52" s="205"/>
      <c r="F52" s="211"/>
      <c r="G52" s="106" t="s">
        <v>69</v>
      </c>
      <c r="H52" s="227" t="s">
        <v>160</v>
      </c>
      <c r="J52" s="232"/>
      <c r="K52" s="232"/>
      <c r="N52" s="232"/>
    </row>
    <row r="53" spans="1:21" ht="52.5" hidden="1">
      <c r="A53" s="96"/>
      <c r="B53" s="180"/>
      <c r="C53" s="183" t="s">
        <v>38</v>
      </c>
      <c r="D53" s="97">
        <v>0</v>
      </c>
      <c r="E53" s="208">
        <v>2567</v>
      </c>
      <c r="F53" s="211"/>
      <c r="G53" s="106"/>
      <c r="H53" s="113"/>
      <c r="J53" s="232"/>
      <c r="K53" s="232"/>
      <c r="N53" s="232"/>
    </row>
    <row r="54" spans="1:21" ht="93.95" customHeight="1">
      <c r="A54" s="96" t="s">
        <v>161</v>
      </c>
      <c r="B54" s="180">
        <v>0.2</v>
      </c>
      <c r="C54" s="183" t="s">
        <v>40</v>
      </c>
      <c r="D54" s="97">
        <v>0.05</v>
      </c>
      <c r="E54" s="208">
        <v>2568</v>
      </c>
      <c r="F54" s="210">
        <f>'ประมาณการคะแนน หัวข้อ RM&amp;IC'!N29</f>
        <v>4.0625</v>
      </c>
      <c r="G54" s="106" t="s">
        <v>69</v>
      </c>
      <c r="H54" s="271" t="s">
        <v>162</v>
      </c>
      <c r="I54" s="232" t="s">
        <v>71</v>
      </c>
      <c r="J54" s="232" t="s">
        <v>72</v>
      </c>
      <c r="K54" s="232"/>
      <c r="L54" s="113" t="s">
        <v>100</v>
      </c>
      <c r="M54" s="233" t="s">
        <v>74</v>
      </c>
      <c r="N54" s="232" t="s">
        <v>163</v>
      </c>
      <c r="O54" s="232" t="s">
        <v>76</v>
      </c>
      <c r="P54" s="272"/>
      <c r="Q54" s="273"/>
      <c r="R54" s="273" t="s">
        <v>79</v>
      </c>
      <c r="S54" s="273" t="s">
        <v>79</v>
      </c>
      <c r="T54" s="273" t="s">
        <v>79</v>
      </c>
      <c r="U54" s="273" t="s">
        <v>79</v>
      </c>
    </row>
    <row r="55" spans="1:21" ht="205.15" hidden="1" customHeight="1">
      <c r="A55" s="228"/>
      <c r="B55" s="228"/>
      <c r="C55" s="228"/>
      <c r="D55" s="97">
        <v>0.05</v>
      </c>
      <c r="E55" s="208">
        <v>2567</v>
      </c>
      <c r="F55" s="210">
        <f>'ประมาณการคะแนน หัวข้อ RM&amp;IC'!H29</f>
        <v>3.5</v>
      </c>
      <c r="G55" s="106" t="s">
        <v>86</v>
      </c>
      <c r="H55" s="113" t="s">
        <v>164</v>
      </c>
      <c r="J55" s="232"/>
      <c r="K55" s="232"/>
      <c r="N55" s="232"/>
    </row>
    <row r="56" spans="1:21" ht="220.15" hidden="1" customHeight="1">
      <c r="A56" s="96"/>
      <c r="B56" s="180"/>
      <c r="C56" s="183"/>
      <c r="D56" s="97">
        <v>0.05</v>
      </c>
      <c r="E56" s="205">
        <v>2567</v>
      </c>
      <c r="F56" s="211"/>
      <c r="G56" s="106" t="s">
        <v>86</v>
      </c>
      <c r="H56" s="221" t="s">
        <v>165</v>
      </c>
      <c r="J56" s="232"/>
      <c r="K56" s="232"/>
      <c r="N56" s="232"/>
    </row>
    <row r="57" spans="1:21" ht="95.65" hidden="1" customHeight="1">
      <c r="A57" s="96"/>
      <c r="B57" s="180"/>
      <c r="C57" s="183"/>
      <c r="D57" s="97">
        <v>0.05</v>
      </c>
      <c r="E57" s="205">
        <v>2567</v>
      </c>
      <c r="F57" s="211"/>
      <c r="G57" s="106" t="s">
        <v>86</v>
      </c>
      <c r="H57" s="222" t="s">
        <v>166</v>
      </c>
      <c r="J57" s="232"/>
      <c r="K57" s="232"/>
      <c r="N57" s="232"/>
    </row>
    <row r="58" spans="1:21" ht="95.65" hidden="1" customHeight="1">
      <c r="A58" s="96"/>
      <c r="B58" s="180"/>
      <c r="C58" s="183"/>
      <c r="D58" s="97">
        <v>0.05</v>
      </c>
      <c r="E58" s="205"/>
      <c r="F58" s="211"/>
      <c r="G58" s="106" t="s">
        <v>69</v>
      </c>
      <c r="H58" s="227" t="s">
        <v>145</v>
      </c>
      <c r="J58" s="232"/>
      <c r="K58" s="232"/>
      <c r="N58" s="232"/>
    </row>
    <row r="59" spans="1:21" ht="114.6" customHeight="1">
      <c r="A59" s="96"/>
      <c r="B59" s="180"/>
      <c r="C59" s="183" t="s">
        <v>41</v>
      </c>
      <c r="D59" s="97">
        <v>0.05</v>
      </c>
      <c r="E59" s="205">
        <v>2568</v>
      </c>
      <c r="F59" s="211"/>
      <c r="G59" s="106" t="s">
        <v>69</v>
      </c>
      <c r="H59" s="227" t="s">
        <v>138</v>
      </c>
      <c r="I59" s="232" t="s">
        <v>114</v>
      </c>
      <c r="J59" s="232" t="s">
        <v>139</v>
      </c>
      <c r="K59" s="232" t="s">
        <v>167</v>
      </c>
      <c r="L59" s="113" t="s">
        <v>100</v>
      </c>
      <c r="M59" s="233" t="s">
        <v>91</v>
      </c>
      <c r="N59" s="232" t="s">
        <v>168</v>
      </c>
      <c r="O59" s="232" t="s">
        <v>76</v>
      </c>
      <c r="P59" s="272"/>
      <c r="Q59" s="273"/>
      <c r="R59" s="273" t="s">
        <v>79</v>
      </c>
      <c r="S59" s="273" t="s">
        <v>79</v>
      </c>
      <c r="T59" s="273" t="s">
        <v>79</v>
      </c>
      <c r="U59" s="273" t="s">
        <v>79</v>
      </c>
    </row>
    <row r="60" spans="1:21" ht="220.9" hidden="1" customHeight="1">
      <c r="A60" s="96"/>
      <c r="B60" s="180"/>
      <c r="C60" s="91"/>
      <c r="D60" s="97">
        <v>0.05</v>
      </c>
      <c r="E60" s="208">
        <v>2567</v>
      </c>
      <c r="F60" s="211"/>
      <c r="G60" s="106" t="s">
        <v>86</v>
      </c>
      <c r="H60" s="113" t="s">
        <v>169</v>
      </c>
      <c r="J60" s="232"/>
      <c r="K60" s="232"/>
      <c r="N60" s="232"/>
    </row>
    <row r="61" spans="1:21" ht="85.15" hidden="1" customHeight="1">
      <c r="A61" s="96"/>
      <c r="B61" s="180"/>
      <c r="C61" s="183"/>
      <c r="D61" s="97">
        <v>0.05</v>
      </c>
      <c r="E61" s="205">
        <v>2567</v>
      </c>
      <c r="F61" s="211"/>
      <c r="G61" s="106" t="s">
        <v>86</v>
      </c>
      <c r="H61" s="113" t="s">
        <v>170</v>
      </c>
      <c r="J61" s="232"/>
      <c r="K61" s="232"/>
      <c r="N61" s="232"/>
    </row>
    <row r="62" spans="1:21" ht="85.15" hidden="1" customHeight="1">
      <c r="A62" s="96"/>
      <c r="B62" s="180"/>
      <c r="C62" s="183"/>
      <c r="D62" s="97">
        <v>0.05</v>
      </c>
      <c r="E62" s="205"/>
      <c r="F62" s="211"/>
      <c r="G62" s="106" t="s">
        <v>69</v>
      </c>
      <c r="H62" s="227" t="s">
        <v>136</v>
      </c>
      <c r="J62" s="232"/>
      <c r="K62" s="232"/>
      <c r="N62" s="232"/>
    </row>
    <row r="63" spans="1:21" ht="308.64999999999998" hidden="1" customHeight="1">
      <c r="A63" s="96"/>
      <c r="B63" s="180"/>
      <c r="C63" s="183" t="s">
        <v>42</v>
      </c>
      <c r="D63" s="97">
        <v>0.06</v>
      </c>
      <c r="E63" s="208">
        <v>2567</v>
      </c>
      <c r="F63" s="211"/>
      <c r="G63" s="106" t="s">
        <v>86</v>
      </c>
      <c r="H63" s="221" t="s">
        <v>171</v>
      </c>
      <c r="J63" s="232"/>
      <c r="K63" s="232"/>
      <c r="N63" s="232"/>
    </row>
    <row r="64" spans="1:21" ht="96.4" hidden="1" customHeight="1">
      <c r="A64" s="96"/>
      <c r="B64" s="180"/>
      <c r="C64" s="183"/>
      <c r="D64" s="97">
        <v>0.06</v>
      </c>
      <c r="E64" s="208">
        <v>2567</v>
      </c>
      <c r="F64" s="211"/>
      <c r="G64" s="106" t="s">
        <v>86</v>
      </c>
      <c r="H64" s="113" t="s">
        <v>172</v>
      </c>
      <c r="J64" s="232"/>
      <c r="K64" s="232"/>
      <c r="N64" s="232"/>
    </row>
    <row r="65" spans="1:21" ht="74.650000000000006" hidden="1" customHeight="1">
      <c r="A65" s="96"/>
      <c r="B65" s="180"/>
      <c r="C65" s="219" t="s">
        <v>42</v>
      </c>
      <c r="D65" s="97">
        <v>0.06</v>
      </c>
      <c r="E65" s="208">
        <v>2567</v>
      </c>
      <c r="F65" s="211"/>
      <c r="G65" s="106" t="s">
        <v>109</v>
      </c>
      <c r="H65" s="113" t="s">
        <v>173</v>
      </c>
      <c r="J65" s="232"/>
      <c r="K65" s="232"/>
      <c r="N65" s="232"/>
    </row>
    <row r="66" spans="1:21" ht="74.650000000000006" hidden="1" customHeight="1">
      <c r="A66" s="96"/>
      <c r="B66" s="180"/>
      <c r="C66" s="219"/>
      <c r="D66" s="97">
        <v>0.06</v>
      </c>
      <c r="E66" s="208">
        <v>2567</v>
      </c>
      <c r="F66" s="211"/>
      <c r="G66" s="106" t="s">
        <v>69</v>
      </c>
      <c r="H66" s="229" t="s">
        <v>174</v>
      </c>
      <c r="J66" s="232"/>
      <c r="K66" s="232"/>
      <c r="N66" s="232"/>
    </row>
    <row r="67" spans="1:21" ht="111" customHeight="1">
      <c r="A67" s="96"/>
      <c r="B67" s="180"/>
      <c r="C67" s="183" t="s">
        <v>175</v>
      </c>
      <c r="D67" s="97">
        <v>0.04</v>
      </c>
      <c r="E67" s="208">
        <v>2568</v>
      </c>
      <c r="F67" s="211"/>
      <c r="G67" s="106" t="s">
        <v>69</v>
      </c>
      <c r="H67" s="270" t="s">
        <v>176</v>
      </c>
      <c r="I67" s="232" t="s">
        <v>177</v>
      </c>
      <c r="J67" s="232" t="s">
        <v>178</v>
      </c>
      <c r="K67" s="232"/>
      <c r="L67" s="113" t="s">
        <v>100</v>
      </c>
      <c r="M67" s="233" t="s">
        <v>91</v>
      </c>
      <c r="N67" s="232" t="s">
        <v>143</v>
      </c>
      <c r="O67" s="232" t="s">
        <v>76</v>
      </c>
      <c r="P67" s="272"/>
      <c r="Q67" s="273" t="s">
        <v>78</v>
      </c>
      <c r="R67" s="273" t="s">
        <v>79</v>
      </c>
      <c r="S67" s="273" t="s">
        <v>79</v>
      </c>
      <c r="T67" s="273" t="s">
        <v>79</v>
      </c>
      <c r="U67" s="273" t="s">
        <v>79</v>
      </c>
    </row>
    <row r="68" spans="1:21" ht="146.65" hidden="1" customHeight="1">
      <c r="A68" s="96"/>
      <c r="B68" s="180"/>
      <c r="C68" s="91"/>
      <c r="D68" s="97">
        <v>0.04</v>
      </c>
      <c r="E68" s="208">
        <v>2567</v>
      </c>
      <c r="F68" s="211"/>
      <c r="G68" s="106" t="s">
        <v>86</v>
      </c>
      <c r="H68" s="113" t="s">
        <v>179</v>
      </c>
    </row>
    <row r="69" spans="1:21" ht="87.6" hidden="1">
      <c r="A69" s="96"/>
      <c r="B69" s="180"/>
      <c r="C69" s="183"/>
      <c r="D69" s="97">
        <v>0.04</v>
      </c>
      <c r="E69" s="208">
        <v>2567</v>
      </c>
      <c r="F69" s="211"/>
      <c r="G69" s="106" t="s">
        <v>86</v>
      </c>
      <c r="H69" s="113" t="s">
        <v>180</v>
      </c>
    </row>
    <row r="70" spans="1:21" ht="69.95" hidden="1">
      <c r="A70" s="96"/>
      <c r="B70" s="180"/>
      <c r="C70" s="219" t="s">
        <v>175</v>
      </c>
      <c r="D70" s="97">
        <v>0.04</v>
      </c>
      <c r="E70" s="208">
        <v>2567</v>
      </c>
      <c r="F70" s="211"/>
      <c r="G70" s="106" t="s">
        <v>109</v>
      </c>
      <c r="H70" s="113" t="s">
        <v>181</v>
      </c>
    </row>
    <row r="71" spans="1:21" ht="71.25" hidden="1" customHeight="1">
      <c r="A71" s="96"/>
      <c r="B71" s="180"/>
      <c r="C71" s="219"/>
      <c r="D71" s="97">
        <v>0.04</v>
      </c>
      <c r="E71" s="208">
        <v>2567</v>
      </c>
      <c r="F71" s="224"/>
      <c r="G71" s="106" t="s">
        <v>69</v>
      </c>
      <c r="H71" s="113" t="s">
        <v>182</v>
      </c>
    </row>
    <row r="72" spans="1:21" ht="31.5" hidden="1" customHeight="1">
      <c r="C72" s="99"/>
      <c r="D72" s="100"/>
      <c r="E72" s="101"/>
      <c r="F72" s="100"/>
    </row>
  </sheetData>
  <autoFilter ref="A1:H72" xr:uid="{97FE6BCF-8DF1-421A-9B5C-2A8F05087288}">
    <filterColumn colId="4">
      <filters>
        <filter val="2568"/>
      </filters>
    </filterColumn>
  </autoFilter>
  <phoneticPr fontId="7" type="noConversion"/>
  <conditionalFormatting sqref="G2:G71">
    <cfRule type="cellIs" dxfId="7" priority="22" operator="equal">
      <formula>#REF!</formula>
    </cfRule>
    <cfRule type="cellIs" dxfId="6" priority="23" operator="equal">
      <formula>#REF!</formula>
    </cfRule>
    <cfRule type="cellIs" dxfId="5" priority="24" operator="equal">
      <formula>#REF!</formula>
    </cfRule>
    <cfRule type="cellIs" dxfId="4" priority="25" operator="equal">
      <formula>#REF!</formula>
    </cfRule>
  </conditionalFormatting>
  <conditionalFormatting sqref="Q2:U3 Q6:U6 Q10:U10 Q12:U12 Q14:U14 Q16:U16 Q20:U20 Q25:U25 Q35:U35 Q39:U40 Q44:U44 Q54:U54 Q59:U59 Q67:U67">
    <cfRule type="containsText" dxfId="3" priority="2" operator="containsText" text="Done">
      <formula>NOT(ISERROR(SEARCH("Done",Q2)))</formula>
    </cfRule>
    <cfRule type="containsText" dxfId="2" priority="3" operator="containsText" text="In Progress">
      <formula>NOT(ISERROR(SEARCH("In Progress",Q2)))</formula>
    </cfRule>
  </conditionalFormatting>
  <conditionalFormatting sqref="S2:U3 S6:U6 S10:U10 S12:U12 S14:U14 S16:U16 S20:U20 S25:U25 S35:U35 S39:U40 S44:U44 S54:U54 S59:U59 S67:U67">
    <cfRule type="containsText" dxfId="1" priority="1" operator="containsText" text="Qualified">
      <formula>NOT(ISERROR(SEARCH("Qualified",S2)))</formula>
    </cfRule>
  </conditionalFormatting>
  <dataValidations count="8">
    <dataValidation type="list" allowBlank="1" showInputMessage="1" showErrorMessage="1" sqref="E2:E71" xr:uid="{A1E2CADC-BA72-4ECF-B9FD-DCA4044ABF0B}">
      <formula1>"2567,2568,2569,2570"</formula1>
    </dataValidation>
    <dataValidation type="list" allowBlank="1" showInputMessage="1" showErrorMessage="1" sqref="E72 G2:G71" xr:uid="{63A5EFF0-F4DF-4B6C-9AC4-A43E026B01CC}">
      <formula1>#REF!</formula1>
    </dataValidation>
    <dataValidation type="list" allowBlank="1" showInputMessage="1" showErrorMessage="1" sqref="L67 L6 L10 L12 L14 L16 L20 L25 L35 L39:L40 L44 L54 L59" xr:uid="{F4545DB6-5483-4F13-A44A-7D8BD83D571D}">
      <formula1>"L1,L2,L3,L4,L5"</formula1>
    </dataValidation>
    <dataValidation type="list" allowBlank="1" showInputMessage="1" showErrorMessage="1" sqref="O2:O3 O6 O10 O12 O14 O16 O20 O25 O35 O39:O40 O44 O54 O59 O67" xr:uid="{3E823F4A-F95F-4C2E-BCBD-DAB1BCACC6F5}">
      <formula1>"YES,NO"</formula1>
    </dataValidation>
    <dataValidation type="list" allowBlank="1" showInputMessage="1" showErrorMessage="1" sqref="Q35:R35 Q2:R3 Q6:R6 Q10:R10 Q12:R12 Q14:R14 Q16:R16 Q20:R20 Q25:R25 Q39:R40 Q44:R44 Q54:R54 Q59:R59 Q67:R67" xr:uid="{E2B90B66-D75D-41DE-9391-B377EA17A742}">
      <formula1>"In Progress,Done"</formula1>
    </dataValidation>
    <dataValidation type="list" allowBlank="1" showInputMessage="1" showErrorMessage="1" sqref="S20:U20 S54:U54 S59:U59 S2:U3 S6:U6 S10:U10 S12:U12 S14:U14 S16:U16 S25:U25 S35:U35 S39:U40 S44:U44 S67:U67" xr:uid="{5ED5C3D1-E85F-4144-A197-9F21B221C373}">
      <formula1>"In Progress,Done,Qualified"</formula1>
    </dataValidation>
    <dataValidation type="list" allowBlank="1" showInputMessage="1" showErrorMessage="1" sqref="M2:M3 M6 M10 M12 M67 M16 M20 M25 M14 M39:M40 M44 M54 M59 M35" xr:uid="{8251903A-1F74-44AD-9E70-C05B22C731BA}">
      <formula1>"Process,Result"</formula1>
    </dataValidation>
    <dataValidation type="list" allowBlank="1" showInputMessage="1" showErrorMessage="1" sqref="L2:L3" xr:uid="{110A8D11-4EBF-43B2-BE71-B9C38861FEF6}">
      <formula1>"L1,L2,L3,L4,L5,หมายเหตุ"</formula1>
    </dataValidation>
  </dataValidations>
  <pageMargins left="0.25" right="0.25" top="0.75" bottom="0.75" header="0.3" footer="0.3"/>
  <pageSetup paperSize="8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B0A4-5A4B-4E3A-96D0-7C608691A0A2}">
  <dimension ref="A1:S24"/>
  <sheetViews>
    <sheetView zoomScaleNormal="100" workbookViewId="0">
      <pane xSplit="2" ySplit="4" topLeftCell="C5" activePane="bottomRight" state="frozen"/>
      <selection pane="bottomRight" activeCell="C11" sqref="C11"/>
      <selection pane="bottomLeft" activeCell="A5" sqref="A5"/>
      <selection pane="topRight" activeCell="C1" sqref="C1"/>
    </sheetView>
  </sheetViews>
  <sheetFormatPr defaultColWidth="13.25" defaultRowHeight="12.6"/>
  <cols>
    <col min="1" max="1" width="6.75" style="118" customWidth="1"/>
    <col min="2" max="2" width="37.75" style="118" customWidth="1"/>
    <col min="3" max="3" width="15.5" style="118" customWidth="1"/>
    <col min="4" max="4" width="17.75" style="118" customWidth="1"/>
    <col min="5" max="5" width="13.25" style="118" customWidth="1"/>
    <col min="6" max="6" width="7.75" style="118" customWidth="1"/>
    <col min="7" max="7" width="15.25" style="118" customWidth="1"/>
    <col min="8" max="8" width="7.5" style="118" customWidth="1"/>
    <col min="9" max="9" width="15.25" style="118" customWidth="1"/>
    <col min="10" max="10" width="7.5" style="118" customWidth="1"/>
    <col min="11" max="11" width="15.25" style="118" customWidth="1"/>
    <col min="12" max="12" width="7.5" style="118" customWidth="1"/>
    <col min="13" max="13" width="15.25" style="118" customWidth="1"/>
    <col min="14" max="14" width="7.75" style="118" customWidth="1"/>
    <col min="15" max="15" width="15.25" style="118" customWidth="1"/>
    <col min="16" max="16" width="7.5" style="118" customWidth="1"/>
    <col min="17" max="17" width="15.25" style="118" customWidth="1"/>
    <col min="18" max="16384" width="13.25" style="118"/>
  </cols>
  <sheetData>
    <row r="1" spans="1:19" s="142" customFormat="1" ht="13.15" customHeight="1">
      <c r="A1" s="139" t="s">
        <v>183</v>
      </c>
      <c r="B1" s="140"/>
      <c r="C1" s="140"/>
      <c r="D1" s="140"/>
      <c r="E1" s="140"/>
      <c r="F1" s="140"/>
      <c r="G1" s="140"/>
      <c r="H1" s="140"/>
      <c r="I1" s="140"/>
      <c r="J1" s="140"/>
      <c r="K1" s="141"/>
    </row>
    <row r="2" spans="1:19" s="142" customFormat="1" ht="16.149999999999999" customHeight="1" thickBot="1">
      <c r="A2" s="143" t="s">
        <v>184</v>
      </c>
      <c r="B2" s="168"/>
      <c r="C2" s="174"/>
      <c r="D2" s="168"/>
      <c r="E2" s="144"/>
      <c r="F2" s="144"/>
      <c r="G2" s="144"/>
      <c r="H2" s="144"/>
      <c r="I2" s="144"/>
      <c r="J2" s="144"/>
      <c r="K2" s="145"/>
    </row>
    <row r="3" spans="1:19" s="119" customFormat="1" ht="60.6" thickBot="1">
      <c r="A3" s="146" t="s">
        <v>185</v>
      </c>
      <c r="B3" s="171" t="s">
        <v>186</v>
      </c>
      <c r="C3" s="176" t="s">
        <v>187</v>
      </c>
      <c r="D3" s="176" t="s">
        <v>188</v>
      </c>
      <c r="E3" s="289" t="s">
        <v>189</v>
      </c>
      <c r="F3" s="290"/>
      <c r="G3" s="291" t="s">
        <v>190</v>
      </c>
      <c r="H3" s="292"/>
      <c r="I3" s="293" t="s">
        <v>191</v>
      </c>
      <c r="J3" s="294"/>
      <c r="K3" s="287" t="s">
        <v>192</v>
      </c>
      <c r="L3" s="288"/>
      <c r="M3" s="285" t="s">
        <v>193</v>
      </c>
      <c r="N3" s="286"/>
      <c r="O3" s="283" t="s">
        <v>194</v>
      </c>
      <c r="P3" s="284"/>
      <c r="Q3" s="147" t="s">
        <v>195</v>
      </c>
      <c r="R3" s="177" t="s">
        <v>196</v>
      </c>
      <c r="S3" s="149"/>
    </row>
    <row r="4" spans="1:19" s="119" customFormat="1" ht="22.15" customHeight="1" thickBot="1">
      <c r="A4" s="150"/>
      <c r="B4" s="148"/>
      <c r="C4" s="177"/>
      <c r="D4" s="177"/>
      <c r="E4" s="151"/>
      <c r="F4" s="152">
        <v>0.3</v>
      </c>
      <c r="G4" s="153"/>
      <c r="H4" s="153">
        <v>0.3</v>
      </c>
      <c r="I4" s="154"/>
      <c r="J4" s="154">
        <v>0.15</v>
      </c>
      <c r="K4" s="155"/>
      <c r="L4" s="155">
        <v>0.15</v>
      </c>
      <c r="M4" s="156"/>
      <c r="N4" s="156">
        <v>0.05</v>
      </c>
      <c r="O4" s="157"/>
      <c r="P4" s="167">
        <v>0.05</v>
      </c>
      <c r="Q4" s="158"/>
      <c r="R4" s="177"/>
      <c r="S4" s="149"/>
    </row>
    <row r="5" spans="1:19" s="119" customFormat="1" ht="31.15" customHeight="1">
      <c r="A5" s="159">
        <v>1</v>
      </c>
      <c r="B5" s="169"/>
      <c r="C5" s="175"/>
      <c r="D5" s="169"/>
      <c r="E5" s="160" t="s">
        <v>197</v>
      </c>
      <c r="F5" s="161" cm="1">
        <f t="array" ref="F5">_xlfn.IFS(
    E5="1-2", 1,
    E5="3-5", 2,
    E5="6-10", 3,
    E5="11-15", 4,
    E5="15 ขึ้นไป", 5,
    TRUE, ""
)</f>
        <v>1</v>
      </c>
      <c r="G5" s="162" t="s">
        <v>100</v>
      </c>
      <c r="H5" s="161" cm="1">
        <f t="array" ref="H5">_xlfn.IFS(
    G5="L5", 1,
    G5="L4", 2,
    G5="L3", 5,
    G5="L2", 5,
    G5="L1", 5,
    TRUE, ""
)</f>
        <v>1</v>
      </c>
      <c r="I5" s="163" t="s">
        <v>198</v>
      </c>
      <c r="J5" s="161" cm="1">
        <f t="array" ref="J5">_xlfn.IFS(
    I5="แก้ทั้งองค์กร", 1,
    I5="แก้ข้ามรอง/ผู้ช่วยขึ้นตรง", 2,
    I5="ต้องแต่งตั้งคณะทำงานเพื่อแก้ไข OFI", 3,
    I5="แก้ภายในผู้ช่วยเดียวกัน", 4,
    I5="แก้ระดับฝ่าย", 5,
    TRUE, ""
)</f>
        <v>1</v>
      </c>
      <c r="K5" s="163" t="s">
        <v>199</v>
      </c>
      <c r="L5" s="161" cm="1">
        <f t="array" ref="L5">_xlfn.IFS(
    K5="ไม่มีผลกระทบ / ไม่เกี่ยวข้อง", 1,
    K5="มีผลกระทบ / เกี่ยวข้อง", 5,
    TRUE, ""
)</f>
        <v>1</v>
      </c>
      <c r="M5" s="163" t="s">
        <v>200</v>
      </c>
      <c r="N5" s="161" cm="1">
        <f t="array" ref="N5">_xlfn.IFS(
    M5="มีความจำเป็นต้องขออนุมัติตั้งงบประมาณเพิ่มเติม", 1,
    M5="สามารถตั้งงบเพียงพอ อยู่ในแผนงาน", 3,
    M5="ไม่ต้องใช้งบประมาณ", 5,
    TRUE, ""
)</f>
        <v>1</v>
      </c>
      <c r="O5" s="163" t="s">
        <v>201</v>
      </c>
      <c r="P5" s="161" cm="1">
        <f t="array" ref="P5">_xlfn.IFS(
    O5="ค่าใช้จ่ายสูงมากกว่า 500000 บาท", 1,
    O5="ผ่านการอนุมัติจากสายงาน", 3,
    O5="ไม่ต้องใช้เทคโนโลยี", 5,
    TRUE, ""
)</f>
        <v>1</v>
      </c>
      <c r="Q5" s="166">
        <f>SUM(F5*0.3,H5*0.3,J5*0.15,L5*0.15,N5*0.05,P5*0.05)</f>
        <v>1</v>
      </c>
      <c r="R5" s="169"/>
      <c r="S5" s="164"/>
    </row>
    <row r="6" spans="1:19" s="119" customFormat="1" ht="31.15" customHeight="1">
      <c r="A6" s="159">
        <v>2</v>
      </c>
      <c r="B6" s="169"/>
      <c r="C6" s="169"/>
      <c r="D6" s="169"/>
      <c r="E6" s="160" t="s">
        <v>202</v>
      </c>
      <c r="F6" s="161" cm="1">
        <f t="array" ref="F6">_xlfn.IFS(
    E6="1-2", 1,
    E6="3-5", 2,
    E6="6-10", 3,
    E6="11-15", 4,
    E6="15 ขึ้นไป", 5,
    TRUE, ""
)</f>
        <v>2</v>
      </c>
      <c r="G6" s="162" t="s">
        <v>73</v>
      </c>
      <c r="H6" s="161" cm="1">
        <f t="array" ref="H6">_xlfn.IFS(
    G6="L5", 1,
    G6="L4", 2,
    G6="L3", 5,
    G6="L2", 5,
    G6="L1", 5,
    TRUE, ""
)</f>
        <v>2</v>
      </c>
      <c r="I6" s="163" t="s">
        <v>203</v>
      </c>
      <c r="J6" s="161" cm="1">
        <f t="array" ref="J6">_xlfn.IFS(
    I6="แก้ทั้งองค์กร", 1,
    I6="แก้ข้ามรอง/ผู้ช่วยขึ้นตรง", 2,
    I6="ต้องแต่งตั้งคณะทำงานเพื่อแก้ไข OFI", 3,
    I6="แก้ภายในผู้ช่วยเดียวกัน", 4,
    I6="แก้ระดับฝ่าย", 5,
    TRUE, ""
)</f>
        <v>2</v>
      </c>
      <c r="K6" s="163" t="s">
        <v>199</v>
      </c>
      <c r="L6" s="161" cm="1">
        <f t="array" ref="L6">_xlfn.IFS(
    K6="ไม่มีผลกระทบ / ไม่เกี่ยวข้อง", 1,
    K6="มีผลกระทบ / เกี่ยวข้อง", 5,
    TRUE, ""
)</f>
        <v>1</v>
      </c>
      <c r="M6" s="163" t="s">
        <v>204</v>
      </c>
      <c r="N6" s="161" cm="1">
        <f t="array" ref="N6">_xlfn.IFS(
    M6="มีความจำเป็นต้องขออนุมัติตั้งงบประมาณเพิ่มเติม", 1,
    M6="สามารถตั้งงบเพียงพอ อยู่ในแผนงาน", 3,
    M6="ไม่ต้องใช้งบประมาณ", 5,
    TRUE, ""
)</f>
        <v>5</v>
      </c>
      <c r="O6" s="165" t="s">
        <v>205</v>
      </c>
      <c r="P6" s="161" cm="1">
        <f t="array" ref="P6">_xlfn.IFS(
    O6="ค่าใช้จ่ายสูงมากกว่า 500000 บาท", 1,
    O6="ผ่านการอนุมัติจากสายงาน", 3,
    O6="ไม่ต้องใช้เทคโนโลยี", 5,
    TRUE, ""
)</f>
        <v>3</v>
      </c>
      <c r="Q6" s="166">
        <f t="shared" ref="Q6:Q8" si="0">SUM(F6*0.3,H6*0.3,J6*0.15,L6*0.15,N6*0.05,P6*0.05)</f>
        <v>2.0499999999999998</v>
      </c>
      <c r="R6" s="169"/>
      <c r="S6" s="149"/>
    </row>
    <row r="7" spans="1:19" s="119" customFormat="1" ht="31.15" customHeight="1">
      <c r="A7" s="159">
        <v>3</v>
      </c>
      <c r="B7" s="169"/>
      <c r="C7" s="169"/>
      <c r="D7" s="169"/>
      <c r="E7" s="160" t="s">
        <v>206</v>
      </c>
      <c r="F7" s="161" cm="1">
        <f t="array" ref="F7">_xlfn.IFS(
    E7="1-2", 1,
    E7="3-5", 2,
    E7="6-10", 3,
    E7="11-15", 4,
    E7="15 ขึ้นไป", 5,
    TRUE, ""
)</f>
        <v>3</v>
      </c>
      <c r="G7" s="179" t="s">
        <v>90</v>
      </c>
      <c r="H7" s="161" cm="1">
        <f t="array" ref="H7">_xlfn.IFS(
    G7="L5", 1,
    G7="L4", 2,
    G7="L3", 5,
    G7="L2", 5,
    G7="L1", 5,
    TRUE, ""
)</f>
        <v>5</v>
      </c>
      <c r="I7" s="163" t="s">
        <v>207</v>
      </c>
      <c r="J7" s="161" cm="1">
        <f t="array" ref="J7">_xlfn.IFS(
    I7="แก้ทั้งองค์กร", 1,
    I7="แก้ข้ามรอง/ผู้ช่วยขึ้นตรง", 2,
    I7="ต้องแต่งตั้งคณะทำงานเพื่อแก้ไข OFI", 3,
    I7="แก้ภายในผู้ช่วยเดียวกัน", 4,
    I7="แก้ระดับฝ่าย", 5,
    TRUE, ""
)</f>
        <v>4</v>
      </c>
      <c r="K7" s="163"/>
      <c r="L7" s="161" t="str" cm="1">
        <f t="array" ref="L7">_xlfn.IFS(
    K7="ไม่มีผลกระทบ / ไม่เกี่ยวข้อง", 1,
    K7="มีผลกระทบ / เกี่ยวข้อง", 5,
    TRUE, ""
)</f>
        <v/>
      </c>
      <c r="M7" s="163" t="s">
        <v>204</v>
      </c>
      <c r="N7" s="161" cm="1">
        <f t="array" ref="N7">_xlfn.IFS(
    M7="มีความจำเป็นต้องขออนุมัติตั้งงบประมาณเพิ่มเติม", 1,
    M7="สามารถตั้งงบเพียงพอ อยู่ในแผนงาน", 3,
    M7="ไม่ต้องใช้งบประมาณ", 5,
    TRUE, ""
)</f>
        <v>5</v>
      </c>
      <c r="O7" s="163" t="s">
        <v>208</v>
      </c>
      <c r="P7" s="161" cm="1">
        <f t="array" ref="P7">_xlfn.IFS(
    O7="ค่าใช้จ่ายสูงมากกว่า 500000 บาท", 1,
    O7="ผ่านการอนุมัติจากสายงาน", 3,
    O7="ไม่ต้องใช้เทคโนโลยี", 5,
    TRUE, ""
)</f>
        <v>5</v>
      </c>
      <c r="Q7" s="166" t="e">
        <f t="shared" si="0"/>
        <v>#VALUE!</v>
      </c>
      <c r="R7" s="169"/>
      <c r="S7" s="149"/>
    </row>
    <row r="8" spans="1:19" s="119" customFormat="1" ht="31.15" customHeight="1">
      <c r="A8" s="159">
        <v>4</v>
      </c>
      <c r="B8" s="169"/>
      <c r="C8" s="169"/>
      <c r="D8" s="169"/>
      <c r="E8" s="160" t="s">
        <v>209</v>
      </c>
      <c r="F8" s="161" cm="1">
        <f t="array" ref="F8">_xlfn.IFS(
    E8="1-2", 1,
    E8="3-5", 2,
    E8="6-10", 3,
    E8="11-15", 4,
    E8="15 ขึ้นไป", 5,
    TRUE, ""
)</f>
        <v>4</v>
      </c>
      <c r="G8" s="179" t="s">
        <v>210</v>
      </c>
      <c r="H8" s="161" cm="1">
        <f t="array" ref="H8">_xlfn.IFS(
    G8="L5", 1,
    G8="L4", 2,
    G8="L3", 5,
    G8="L2", 5,
    G8="L1", 5,
    TRUE, ""
)</f>
        <v>5</v>
      </c>
      <c r="I8" s="163" t="s">
        <v>211</v>
      </c>
      <c r="J8" s="161" cm="1">
        <f t="array" ref="J8">_xlfn.IFS(
    I8="แก้ทั้งองค์กร", 1,
    I8="แก้ข้ามรอง/ผู้ช่วยขึ้นตรง", 2,
    I8="ต้องแต่งตั้งคณะทำงานเพื่อแก้ไข OFI", 3,
    I8="แก้ภายในผู้ช่วยเดียวกัน", 4,
    I8="แก้ระดับฝ่าย", 5,
    TRUE, ""
)</f>
        <v>3</v>
      </c>
      <c r="K8" s="163"/>
      <c r="L8" s="161" t="str" cm="1">
        <f t="array" ref="L8">_xlfn.IFS(
    K8="ไม่มีผลกระทบ / ไม่เกี่ยวข้อง", 1,
    K8="มีผลกระทบ / เกี่ยวข้อง", 5,
    TRUE, ""
)</f>
        <v/>
      </c>
      <c r="M8" s="163"/>
      <c r="N8" s="161" t="str" cm="1">
        <f t="array" ref="N8">_xlfn.IFS(
    M8="มีความจำเป็นต้องขออนุมัติตั้งงบประมาณเพิ่มเติม", 1,
    M8="สามารถตั้งงบเพียงพอ อยู่ในแผนงาน", 3,
    M8="ไม่ต้องใช้งบประมาณ", 5,
    TRUE, ""
)</f>
        <v/>
      </c>
      <c r="O8" s="163"/>
      <c r="P8" s="161" t="str" cm="1">
        <f t="array" ref="P8">_xlfn.IFS(
    O8="ค่าใช้จ่ายสูงมากกว่า 500000 บาท", 1,
    O8="ผ่านการอนุมัติจากสายงาน", 3,
    O8="ไม่ต้องใช้เทคโนโลยี", 5,
    TRUE, ""
)</f>
        <v/>
      </c>
      <c r="Q8" s="166" t="e">
        <f t="shared" si="0"/>
        <v>#VALUE!</v>
      </c>
      <c r="R8" s="169"/>
      <c r="S8" s="149"/>
    </row>
    <row r="9" spans="1:19" s="119" customFormat="1" ht="31.15" customHeight="1">
      <c r="A9" s="159">
        <v>5</v>
      </c>
      <c r="B9" s="169"/>
      <c r="C9" s="169"/>
      <c r="D9" s="169"/>
      <c r="E9" s="160" t="s">
        <v>212</v>
      </c>
      <c r="F9" s="161" cm="1">
        <f t="array" ref="F9">_xlfn.IFS(
    E9="1-2", 1,
    E9="3-5", 2,
    E9="6-10", 3,
    E9="11-15", 4,
    E9="15 ขึ้นไป", 5,
    TRUE, ""
)</f>
        <v>5</v>
      </c>
      <c r="G9" s="179" t="s">
        <v>213</v>
      </c>
      <c r="H9" s="161" cm="1">
        <f t="array" ref="H9">_xlfn.IFS(
    G9="L5", 1,
    G9="L4", 2,
    G9="L3", 5,
    G9="L2", 5,
    G9="L1", 5,
    TRUE, ""
)</f>
        <v>5</v>
      </c>
      <c r="I9" s="163" t="s">
        <v>214</v>
      </c>
      <c r="J9" s="161" cm="1">
        <f t="array" ref="J9">_xlfn.IFS(
    I9="แก้ทั้งองค์กร", 1,
    I9="แก้ข้ามรอง/ผู้ช่วยขึ้นตรง", 2,
    I9="ต้องแต่งตั้งคณะทำงานเพื่อแก้ไข OFI", 3,
    I9="แก้ภายในผู้ช่วยเดียวกัน", 4,
    I9="แก้ระดับฝ่าย", 5,
    TRUE, ""
)</f>
        <v>5</v>
      </c>
      <c r="K9" s="163"/>
      <c r="L9" s="161" t="str" cm="1">
        <f t="array" ref="L9">_xlfn.IFS(
    K9="ไม่มีผลกระทบ / ไม่เกี่ยวข้อง", 1,
    K9="มีผลกระทบ / เกี่ยวข้อง", 5,
    TRUE, ""
)</f>
        <v/>
      </c>
      <c r="M9" s="163"/>
      <c r="N9" s="161" t="str" cm="1">
        <f t="array" ref="N9">_xlfn.IFS(
    M9="มีความจำเป็นต้องขออนุมัติตั้งงบประมาณเพิ่มเติม", 1,
    M9="สามารถตั้งงบเพียงพอ อยู่ในแผนงาน", 3,
    M9="ไม่ต้องใช้งบประมาณ", 5,
    TRUE, ""
)</f>
        <v/>
      </c>
      <c r="O9" s="163"/>
      <c r="P9" s="161" t="str" cm="1">
        <f t="array" ref="P9">_xlfn.IFS(
    O9="ค่าใช้จ่ายสูงมากกว่า 500000 บาท", 1,
    O9="ผ่านการอนุมัติจากสายงาน", 3,
    O9="ไม่ต้องใช้เทคโนโลยี", 5,
    TRUE, ""
)</f>
        <v/>
      </c>
      <c r="Q9" s="166" t="e">
        <f>SUM(F9*0.3,H9*0.3,J9*0.15,L9*0.15,N9*0.05,P9*0.05)</f>
        <v>#VALUE!</v>
      </c>
      <c r="R9" s="169"/>
      <c r="S9" s="149"/>
    </row>
    <row r="10" spans="1:19" ht="19.149999999999999" customHeight="1" thickBot="1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</row>
    <row r="11" spans="1:19" s="119" customFormat="1" ht="34.9" customHeight="1" thickBot="1">
      <c r="E11" s="125" t="s">
        <v>189</v>
      </c>
      <c r="F11" s="125" t="s">
        <v>215</v>
      </c>
      <c r="G11" s="126" t="s">
        <v>216</v>
      </c>
      <c r="H11" s="126" t="s">
        <v>215</v>
      </c>
      <c r="I11" s="127" t="s">
        <v>217</v>
      </c>
      <c r="J11" s="127" t="s">
        <v>215</v>
      </c>
      <c r="K11" s="131" t="s">
        <v>192</v>
      </c>
      <c r="L11" s="131" t="s">
        <v>215</v>
      </c>
      <c r="M11" s="133" t="s">
        <v>218</v>
      </c>
      <c r="N11" s="133" t="s">
        <v>215</v>
      </c>
      <c r="O11" s="134" t="s">
        <v>219</v>
      </c>
      <c r="P11" s="134" t="s">
        <v>215</v>
      </c>
    </row>
    <row r="12" spans="1:19" s="119" customFormat="1" ht="29.65" customHeight="1">
      <c r="E12" s="136" t="s">
        <v>197</v>
      </c>
      <c r="F12" s="120">
        <v>1</v>
      </c>
      <c r="G12" s="121" t="s">
        <v>100</v>
      </c>
      <c r="H12" s="121">
        <v>1</v>
      </c>
      <c r="I12" s="128" t="s">
        <v>220</v>
      </c>
      <c r="J12" s="128">
        <v>1</v>
      </c>
      <c r="K12" s="121" t="s">
        <v>199</v>
      </c>
      <c r="L12" s="121">
        <v>1</v>
      </c>
      <c r="M12" s="121" t="s">
        <v>221</v>
      </c>
      <c r="N12" s="121">
        <v>1</v>
      </c>
      <c r="O12" s="121" t="s">
        <v>222</v>
      </c>
      <c r="P12" s="121">
        <v>1</v>
      </c>
    </row>
    <row r="13" spans="1:19" s="119" customFormat="1" ht="29.65" customHeight="1">
      <c r="E13" s="137" t="s">
        <v>202</v>
      </c>
      <c r="F13" s="122">
        <v>2</v>
      </c>
      <c r="G13" s="123" t="s">
        <v>73</v>
      </c>
      <c r="H13" s="123">
        <v>2</v>
      </c>
      <c r="I13" s="129" t="s">
        <v>223</v>
      </c>
      <c r="J13" s="129">
        <v>2</v>
      </c>
      <c r="K13" s="123" t="s">
        <v>224</v>
      </c>
      <c r="L13" s="123">
        <v>5</v>
      </c>
      <c r="M13" s="123" t="s">
        <v>225</v>
      </c>
      <c r="N13" s="123">
        <v>3</v>
      </c>
      <c r="O13" s="123" t="s">
        <v>205</v>
      </c>
      <c r="P13" s="123">
        <v>3</v>
      </c>
    </row>
    <row r="14" spans="1:19" s="119" customFormat="1" ht="29.65" customHeight="1">
      <c r="E14" s="136" t="s">
        <v>206</v>
      </c>
      <c r="F14" s="120">
        <v>3</v>
      </c>
      <c r="G14" s="124" t="s">
        <v>90</v>
      </c>
      <c r="H14" s="124">
        <v>5</v>
      </c>
      <c r="I14" s="130" t="s">
        <v>226</v>
      </c>
      <c r="J14" s="130">
        <v>3</v>
      </c>
      <c r="M14" s="124" t="s">
        <v>204</v>
      </c>
      <c r="N14" s="124">
        <v>5</v>
      </c>
      <c r="O14" s="124" t="s">
        <v>208</v>
      </c>
      <c r="P14" s="124">
        <v>5</v>
      </c>
    </row>
    <row r="15" spans="1:19" s="119" customFormat="1" ht="29.65" customHeight="1">
      <c r="E15" s="138" t="s">
        <v>209</v>
      </c>
      <c r="F15" s="122">
        <v>4</v>
      </c>
      <c r="G15" s="123" t="s">
        <v>210</v>
      </c>
      <c r="H15" s="123">
        <v>5</v>
      </c>
      <c r="I15" s="129" t="s">
        <v>227</v>
      </c>
      <c r="J15" s="129">
        <v>4</v>
      </c>
    </row>
    <row r="16" spans="1:19" s="119" customFormat="1" ht="29.65" customHeight="1">
      <c r="E16" s="120" t="s">
        <v>228</v>
      </c>
      <c r="F16" s="120">
        <v>5</v>
      </c>
      <c r="G16" s="124" t="s">
        <v>213</v>
      </c>
      <c r="H16" s="124">
        <v>5</v>
      </c>
      <c r="I16" s="130" t="s">
        <v>229</v>
      </c>
      <c r="J16" s="130">
        <v>5</v>
      </c>
    </row>
    <row r="17" spans="2:8" s="119" customFormat="1" ht="21" customHeight="1">
      <c r="B17" s="170"/>
      <c r="C17" s="172"/>
      <c r="D17" s="172"/>
      <c r="E17" s="279" t="s">
        <v>230</v>
      </c>
      <c r="F17" s="280"/>
      <c r="G17" s="279" t="s">
        <v>231</v>
      </c>
      <c r="H17" s="280"/>
    </row>
    <row r="18" spans="2:8" s="119" customFormat="1" ht="43.9" customHeight="1">
      <c r="C18" s="173"/>
      <c r="D18" s="173"/>
      <c r="E18" s="281"/>
      <c r="F18" s="282"/>
      <c r="G18" s="281"/>
      <c r="H18" s="282"/>
    </row>
    <row r="19" spans="2:8" s="119" customFormat="1" ht="26.65" customHeight="1"/>
    <row r="20" spans="2:8" s="119" customFormat="1" ht="9.9499999999999993"/>
    <row r="21" spans="2:8" s="132" customFormat="1" ht="9.9499999999999993"/>
    <row r="22" spans="2:8" s="119" customFormat="1" ht="9.9499999999999993"/>
    <row r="23" spans="2:8" s="119" customFormat="1" ht="9.9499999999999993"/>
    <row r="24" spans="2:8" s="119" customFormat="1">
      <c r="G24" s="118"/>
      <c r="H24" s="118"/>
    </row>
  </sheetData>
  <mergeCells count="8">
    <mergeCell ref="G17:H18"/>
    <mergeCell ref="O3:P3"/>
    <mergeCell ref="M3:N3"/>
    <mergeCell ref="K3:L3"/>
    <mergeCell ref="E3:F3"/>
    <mergeCell ref="G3:H3"/>
    <mergeCell ref="I3:J3"/>
    <mergeCell ref="E17:F18"/>
  </mergeCells>
  <phoneticPr fontId="7" type="noConversion"/>
  <conditionalFormatting sqref="Q5:Q9">
    <cfRule type="cellIs" dxfId="0" priority="1" operator="lessThan">
      <formula>AND(F5+H5+J5+L5+N5+P5=Q5, Q5&lt;50)</formula>
    </cfRule>
  </conditionalFormatting>
  <dataValidations count="6">
    <dataValidation type="list" allowBlank="1" showInputMessage="1" showErrorMessage="1" sqref="E5:E9" xr:uid="{FDC56A46-1D61-4D08-9B71-89785A3349BB}">
      <formula1>"'1-2,'3-5,'6-10,'11-15,'15 ขึ้นไป"</formula1>
    </dataValidation>
    <dataValidation type="list" allowBlank="1" showInputMessage="1" showErrorMessage="1" sqref="G5:G9" xr:uid="{47378434-1FBE-441F-8F70-9F5564D5DAD7}">
      <formula1>"L5,L4,L3,L2,L1"</formula1>
    </dataValidation>
    <dataValidation type="list" allowBlank="1" showInputMessage="1" showErrorMessage="1" sqref="I5:I9" xr:uid="{1AEF5D4B-4856-4697-BFCB-3EE0CABB1A59}">
      <formula1>"แก้ทั้งองค์กร, แก้ข้ามรอง/ผู้ช่วยขึ้นตรง,ต้องแต่งตั้งคณะทำงาน(Cross Func.) เพื่อแก้ไข OFI,แก้ภายในผู้ช่วยเดียวกัน,แก้ระดับฝ่าย"</formula1>
    </dataValidation>
    <dataValidation type="list" allowBlank="1" showInputMessage="1" showErrorMessage="1" sqref="K5:K9" xr:uid="{D38FA86A-54B2-4C7B-A24E-7A2D618681AC}">
      <formula1>"ไม่มีผลกระทบ / ไม่เกี่ยวข้อง,มีผลกระทบ / เกี่ยวข้อง"</formula1>
    </dataValidation>
    <dataValidation type="list" allowBlank="1" showInputMessage="1" showErrorMessage="1" sqref="M5:M9" xr:uid="{7A650576-8DC1-41A4-924B-5EC8401C2244}">
      <formula1>"มีความจำเป็นต้องขออนุมัติตั้งงบประมาณเพิ่มเติม,สามารถตั้งงบเพียงพอ อยู่ในแผนงาน,ไม่ต้องใช้งบประมาณ"</formula1>
    </dataValidation>
    <dataValidation type="list" allowBlank="1" showInputMessage="1" showErrorMessage="1" sqref="O5:O9" xr:uid="{DE7CB2A2-A13B-49DB-A2F4-74B0C05BEE8A}">
      <formula1>"ค่าใช้จ่ายสูงมากกว่า 500000 บาท,ผ่านการอนุมัติจากสายงาน,ไม่ต้องใช้เทคโนโลยี"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0645-8DDF-41E5-9914-BC89E34E505A}">
  <dimension ref="A1:O42"/>
  <sheetViews>
    <sheetView zoomScale="90" zoomScaleNormal="90" workbookViewId="0">
      <pane xSplit="1" ySplit="2" topLeftCell="B25" activePane="bottomRight" state="frozen"/>
      <selection pane="bottomRight" activeCell="H5" sqref="H5"/>
      <selection pane="bottomLeft" activeCell="A3" sqref="A3"/>
      <selection pane="topRight" activeCell="B1" sqref="B1"/>
    </sheetView>
  </sheetViews>
  <sheetFormatPr defaultColWidth="8.75" defaultRowHeight="14.1"/>
  <cols>
    <col min="1" max="1" width="11.25" style="14" customWidth="1"/>
    <col min="2" max="2" width="18.25" style="12" customWidth="1"/>
    <col min="3" max="4" width="8.75" style="14"/>
    <col min="5" max="5" width="20.75" style="12" customWidth="1"/>
    <col min="6" max="6" width="11.25" style="14" customWidth="1"/>
    <col min="7" max="7" width="8" style="14" customWidth="1"/>
    <col min="8" max="8" width="44.25" style="24" customWidth="1"/>
    <col min="9" max="9" width="12.25" style="13" customWidth="1"/>
    <col min="10" max="10" width="33" style="14" hidden="1" customWidth="1"/>
    <col min="11" max="11" width="12.75" style="13" customWidth="1"/>
    <col min="12" max="12" width="10.25" style="14" customWidth="1"/>
    <col min="13" max="13" width="14.25" style="14" customWidth="1"/>
    <col min="14" max="14" width="15.25" style="65" customWidth="1"/>
    <col min="15" max="15" width="24.75" customWidth="1"/>
  </cols>
  <sheetData>
    <row r="1" spans="1:14" ht="34.9" customHeight="1">
      <c r="A1" s="299" t="s">
        <v>232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</row>
    <row r="2" spans="1:14" ht="42">
      <c r="A2" s="15" t="s">
        <v>233</v>
      </c>
      <c r="B2" s="15" t="s">
        <v>234</v>
      </c>
      <c r="C2" s="15" t="s">
        <v>235</v>
      </c>
      <c r="D2" s="15" t="s">
        <v>236</v>
      </c>
      <c r="E2" s="15" t="s">
        <v>237</v>
      </c>
      <c r="F2" s="15" t="s">
        <v>238</v>
      </c>
      <c r="G2" s="15" t="s">
        <v>239</v>
      </c>
      <c r="H2" s="15" t="s">
        <v>240</v>
      </c>
      <c r="I2" s="16" t="s">
        <v>241</v>
      </c>
      <c r="J2" s="42" t="s">
        <v>242</v>
      </c>
      <c r="K2" s="43" t="s">
        <v>243</v>
      </c>
      <c r="L2" s="43" t="s">
        <v>244</v>
      </c>
      <c r="M2" s="56" t="s">
        <v>245</v>
      </c>
      <c r="N2" s="62" t="s">
        <v>246</v>
      </c>
    </row>
    <row r="3" spans="1:14" ht="52.5" customHeight="1">
      <c r="A3" s="45" t="s">
        <v>247</v>
      </c>
      <c r="B3" s="17" t="s">
        <v>248</v>
      </c>
      <c r="C3" s="21">
        <v>4.4000000000000004</v>
      </c>
      <c r="D3" s="18">
        <v>25</v>
      </c>
      <c r="E3" s="17" t="s">
        <v>249</v>
      </c>
      <c r="F3" s="18" t="s">
        <v>250</v>
      </c>
      <c r="G3" s="18" t="s">
        <v>73</v>
      </c>
      <c r="H3" s="22" t="s">
        <v>251</v>
      </c>
      <c r="I3" s="19" t="s">
        <v>252</v>
      </c>
      <c r="J3" s="17"/>
      <c r="K3" s="53"/>
      <c r="L3" s="54"/>
      <c r="M3" s="57"/>
      <c r="N3" s="63" t="s">
        <v>253</v>
      </c>
    </row>
    <row r="4" spans="1:14" ht="72" customHeight="1">
      <c r="A4" s="46" t="s">
        <v>254</v>
      </c>
      <c r="B4" s="17" t="s">
        <v>248</v>
      </c>
      <c r="C4" s="21">
        <v>4.4000000000000004</v>
      </c>
      <c r="D4" s="18">
        <v>25</v>
      </c>
      <c r="E4" s="17" t="s">
        <v>249</v>
      </c>
      <c r="F4" s="18" t="s">
        <v>255</v>
      </c>
      <c r="G4" s="18" t="s">
        <v>100</v>
      </c>
      <c r="H4" s="22" t="s">
        <v>256</v>
      </c>
      <c r="I4" s="19" t="s">
        <v>252</v>
      </c>
      <c r="J4" s="17"/>
      <c r="K4" s="53"/>
      <c r="L4" s="54"/>
      <c r="M4" s="57"/>
      <c r="N4" s="63" t="s">
        <v>253</v>
      </c>
    </row>
    <row r="5" spans="1:14" ht="101.25" customHeight="1">
      <c r="A5" s="46" t="s">
        <v>257</v>
      </c>
      <c r="B5" s="17" t="s">
        <v>258</v>
      </c>
      <c r="C5" s="18">
        <v>4.0667</v>
      </c>
      <c r="D5" s="18">
        <v>25</v>
      </c>
      <c r="E5" s="17" t="s">
        <v>259</v>
      </c>
      <c r="F5" s="18" t="s">
        <v>260</v>
      </c>
      <c r="G5" s="18" t="s">
        <v>73</v>
      </c>
      <c r="H5" s="22" t="s">
        <v>261</v>
      </c>
      <c r="I5" s="19" t="s">
        <v>262</v>
      </c>
      <c r="J5" s="17"/>
      <c r="K5" s="25" t="s">
        <v>93</v>
      </c>
      <c r="L5" s="25" t="s">
        <v>93</v>
      </c>
      <c r="M5" s="58" t="s">
        <v>93</v>
      </c>
      <c r="N5" s="63" t="s">
        <v>253</v>
      </c>
    </row>
    <row r="6" spans="1:14" ht="110.25" customHeight="1">
      <c r="A6" s="46" t="s">
        <v>263</v>
      </c>
      <c r="B6" s="17" t="s">
        <v>258</v>
      </c>
      <c r="C6" s="18">
        <v>4.0667</v>
      </c>
      <c r="D6" s="18">
        <v>25</v>
      </c>
      <c r="E6" s="17" t="s">
        <v>259</v>
      </c>
      <c r="F6" s="18" t="s">
        <v>264</v>
      </c>
      <c r="G6" s="18" t="s">
        <v>100</v>
      </c>
      <c r="H6" s="22" t="s">
        <v>265</v>
      </c>
      <c r="I6" s="19" t="s">
        <v>262</v>
      </c>
      <c r="J6" s="17"/>
      <c r="K6" s="25" t="s">
        <v>93</v>
      </c>
      <c r="L6" s="25" t="s">
        <v>93</v>
      </c>
      <c r="M6" s="58" t="s">
        <v>93</v>
      </c>
      <c r="N6" s="63" t="s">
        <v>253</v>
      </c>
    </row>
    <row r="7" spans="1:14" ht="118.15" customHeight="1">
      <c r="A7" s="47" t="s">
        <v>266</v>
      </c>
      <c r="B7" s="29" t="s">
        <v>258</v>
      </c>
      <c r="C7" s="28">
        <v>4.0667</v>
      </c>
      <c r="D7" s="28">
        <v>25</v>
      </c>
      <c r="E7" s="29" t="s">
        <v>267</v>
      </c>
      <c r="F7" s="28" t="s">
        <v>268</v>
      </c>
      <c r="G7" s="18" t="s">
        <v>73</v>
      </c>
      <c r="H7" s="22" t="s">
        <v>269</v>
      </c>
      <c r="I7" s="19" t="s">
        <v>270</v>
      </c>
      <c r="J7" s="23" t="s">
        <v>271</v>
      </c>
      <c r="K7" s="19"/>
      <c r="L7" s="25" t="s">
        <v>93</v>
      </c>
      <c r="M7" s="59"/>
      <c r="N7" s="63" t="s">
        <v>253</v>
      </c>
    </row>
    <row r="8" spans="1:14" ht="86.25" customHeight="1">
      <c r="A8" s="47" t="s">
        <v>272</v>
      </c>
      <c r="B8" s="39" t="s">
        <v>258</v>
      </c>
      <c r="C8" s="44">
        <v>4.0667</v>
      </c>
      <c r="D8" s="44">
        <v>25</v>
      </c>
      <c r="E8" s="39" t="s">
        <v>267</v>
      </c>
      <c r="F8" s="44" t="s">
        <v>273</v>
      </c>
      <c r="G8" s="18" t="s">
        <v>73</v>
      </c>
      <c r="H8" s="297" t="s">
        <v>274</v>
      </c>
      <c r="I8" s="295" t="s">
        <v>270</v>
      </c>
      <c r="J8" s="17" t="s">
        <v>275</v>
      </c>
      <c r="K8" s="19"/>
      <c r="L8" s="25" t="s">
        <v>93</v>
      </c>
      <c r="M8" s="59"/>
      <c r="N8" s="63" t="s">
        <v>253</v>
      </c>
    </row>
    <row r="9" spans="1:14" ht="53.25" customHeight="1">
      <c r="A9" s="48"/>
      <c r="B9" s="34"/>
      <c r="C9" s="36"/>
      <c r="D9" s="38"/>
      <c r="E9" s="41"/>
      <c r="F9" s="38"/>
      <c r="G9" s="18"/>
      <c r="H9" s="298"/>
      <c r="I9" s="296"/>
      <c r="J9" s="17" t="s">
        <v>276</v>
      </c>
      <c r="K9" s="19"/>
      <c r="L9" s="25" t="s">
        <v>93</v>
      </c>
      <c r="M9" s="59"/>
      <c r="N9" s="62"/>
    </row>
    <row r="10" spans="1:14" ht="101.25" customHeight="1">
      <c r="A10" s="49" t="s">
        <v>277</v>
      </c>
      <c r="B10" s="32" t="s">
        <v>258</v>
      </c>
      <c r="C10" s="31">
        <v>4.0667</v>
      </c>
      <c r="D10" s="31">
        <v>25</v>
      </c>
      <c r="E10" s="32" t="s">
        <v>267</v>
      </c>
      <c r="F10" s="31" t="s">
        <v>278</v>
      </c>
      <c r="G10" s="18" t="s">
        <v>73</v>
      </c>
      <c r="H10" s="22" t="s">
        <v>279</v>
      </c>
      <c r="I10" s="19" t="s">
        <v>270</v>
      </c>
      <c r="J10" s="17" t="s">
        <v>280</v>
      </c>
      <c r="K10" s="19"/>
      <c r="L10" s="25" t="s">
        <v>93</v>
      </c>
      <c r="M10" s="59"/>
      <c r="N10" s="63" t="s">
        <v>253</v>
      </c>
    </row>
    <row r="11" spans="1:14" ht="84">
      <c r="A11" s="46" t="s">
        <v>281</v>
      </c>
      <c r="B11" s="17" t="s">
        <v>282</v>
      </c>
      <c r="C11" s="21">
        <v>3.8565</v>
      </c>
      <c r="D11" s="18">
        <v>20</v>
      </c>
      <c r="E11" s="17" t="s">
        <v>283</v>
      </c>
      <c r="F11" s="18" t="s">
        <v>284</v>
      </c>
      <c r="G11" s="18" t="s">
        <v>90</v>
      </c>
      <c r="H11" s="22" t="s">
        <v>285</v>
      </c>
      <c r="I11" s="19" t="s">
        <v>286</v>
      </c>
      <c r="J11" s="17"/>
      <c r="K11" s="53"/>
      <c r="L11" s="53"/>
      <c r="M11" s="60"/>
      <c r="N11" s="64" t="s">
        <v>287</v>
      </c>
    </row>
    <row r="12" spans="1:14" ht="110.25" customHeight="1">
      <c r="A12" s="47" t="s">
        <v>288</v>
      </c>
      <c r="B12" s="29" t="s">
        <v>282</v>
      </c>
      <c r="C12" s="30">
        <v>3.8565</v>
      </c>
      <c r="D12" s="28">
        <v>20</v>
      </c>
      <c r="E12" s="29" t="s">
        <v>283</v>
      </c>
      <c r="F12" s="18" t="s">
        <v>289</v>
      </c>
      <c r="G12" s="18" t="s">
        <v>90</v>
      </c>
      <c r="H12" s="22" t="s">
        <v>290</v>
      </c>
      <c r="I12" s="19" t="s">
        <v>291</v>
      </c>
      <c r="J12" s="17"/>
      <c r="K12" s="19"/>
      <c r="L12" s="25" t="s">
        <v>93</v>
      </c>
      <c r="M12" s="61"/>
      <c r="N12" s="66" t="s">
        <v>292</v>
      </c>
    </row>
    <row r="13" spans="1:14" ht="84">
      <c r="A13" s="50" t="s">
        <v>293</v>
      </c>
      <c r="B13" s="29" t="s">
        <v>282</v>
      </c>
      <c r="C13" s="30">
        <v>3.8565</v>
      </c>
      <c r="D13" s="28">
        <v>20</v>
      </c>
      <c r="E13" s="39" t="s">
        <v>283</v>
      </c>
      <c r="F13" s="18" t="s">
        <v>294</v>
      </c>
      <c r="G13" s="18" t="s">
        <v>73</v>
      </c>
      <c r="H13" s="26" t="s">
        <v>295</v>
      </c>
      <c r="I13" s="19" t="s">
        <v>296</v>
      </c>
      <c r="J13" s="17"/>
      <c r="K13" s="19"/>
      <c r="L13" s="25" t="s">
        <v>93</v>
      </c>
      <c r="M13" s="61"/>
      <c r="N13" s="63" t="s">
        <v>297</v>
      </c>
    </row>
    <row r="14" spans="1:14" ht="60" customHeight="1">
      <c r="A14" s="51"/>
      <c r="B14" s="33"/>
      <c r="C14" s="35"/>
      <c r="D14" s="37"/>
      <c r="E14" s="40"/>
      <c r="F14" s="27"/>
      <c r="G14" s="18"/>
      <c r="H14" s="26" t="s">
        <v>298</v>
      </c>
      <c r="I14" s="19" t="s">
        <v>299</v>
      </c>
      <c r="J14" s="17"/>
      <c r="K14" s="19"/>
      <c r="L14" s="25" t="s">
        <v>93</v>
      </c>
      <c r="M14" s="61"/>
      <c r="N14" s="63" t="s">
        <v>300</v>
      </c>
    </row>
    <row r="15" spans="1:14" ht="56.1">
      <c r="A15" s="51"/>
      <c r="B15" s="33"/>
      <c r="C15" s="35"/>
      <c r="D15" s="37"/>
      <c r="E15" s="40"/>
      <c r="F15" s="27"/>
      <c r="G15" s="18"/>
      <c r="H15" s="26" t="s">
        <v>301</v>
      </c>
      <c r="I15" s="19" t="s">
        <v>302</v>
      </c>
      <c r="J15" s="17"/>
      <c r="K15" s="19"/>
      <c r="L15" s="25" t="s">
        <v>93</v>
      </c>
      <c r="M15" s="61"/>
      <c r="N15" s="63" t="s">
        <v>300</v>
      </c>
    </row>
    <row r="16" spans="1:14" ht="25.5" customHeight="1">
      <c r="A16" s="51"/>
      <c r="B16" s="33"/>
      <c r="C16" s="35"/>
      <c r="D16" s="37"/>
      <c r="E16" s="40"/>
      <c r="F16" s="27"/>
      <c r="G16" s="18"/>
      <c r="H16" s="26" t="s">
        <v>303</v>
      </c>
      <c r="I16" s="19" t="s">
        <v>72</v>
      </c>
      <c r="J16" s="17"/>
      <c r="K16" s="19"/>
      <c r="L16" s="25" t="s">
        <v>93</v>
      </c>
      <c r="M16" s="61"/>
      <c r="N16" s="63"/>
    </row>
    <row r="17" spans="1:15" ht="36.75" customHeight="1">
      <c r="A17" s="51"/>
      <c r="B17" s="33"/>
      <c r="C17" s="35"/>
      <c r="D17" s="37"/>
      <c r="E17" s="40"/>
      <c r="F17" s="27"/>
      <c r="G17" s="18"/>
      <c r="H17" s="26" t="s">
        <v>304</v>
      </c>
      <c r="I17" s="19" t="s">
        <v>72</v>
      </c>
      <c r="J17" s="17"/>
      <c r="K17" s="19"/>
      <c r="L17" s="25" t="s">
        <v>93</v>
      </c>
      <c r="M17" s="61"/>
      <c r="N17" s="63"/>
    </row>
    <row r="18" spans="1:15" ht="27" customHeight="1">
      <c r="A18" s="51"/>
      <c r="B18" s="33"/>
      <c r="C18" s="35"/>
      <c r="D18" s="37"/>
      <c r="E18" s="40"/>
      <c r="F18" s="27"/>
      <c r="G18" s="18"/>
      <c r="H18" s="26" t="s">
        <v>305</v>
      </c>
      <c r="I18" s="19" t="s">
        <v>72</v>
      </c>
      <c r="J18" s="17"/>
      <c r="K18" s="19"/>
      <c r="L18" s="25" t="s">
        <v>93</v>
      </c>
      <c r="M18" s="61"/>
      <c r="N18" s="63"/>
    </row>
    <row r="19" spans="1:15" ht="33" customHeight="1">
      <c r="A19" s="51"/>
      <c r="B19" s="33"/>
      <c r="C19" s="35"/>
      <c r="D19" s="37"/>
      <c r="E19" s="40"/>
      <c r="F19" s="27"/>
      <c r="G19" s="18"/>
      <c r="H19" s="55" t="s">
        <v>306</v>
      </c>
      <c r="I19" s="19" t="s">
        <v>291</v>
      </c>
      <c r="J19" s="17"/>
      <c r="K19" s="19"/>
      <c r="L19" s="25" t="s">
        <v>93</v>
      </c>
      <c r="M19" s="61"/>
      <c r="N19" s="63"/>
    </row>
    <row r="20" spans="1:15" ht="98.25" customHeight="1">
      <c r="A20" s="52"/>
      <c r="B20" s="34"/>
      <c r="C20" s="36"/>
      <c r="D20" s="38"/>
      <c r="E20" s="41"/>
      <c r="F20" s="27"/>
      <c r="G20" s="18"/>
      <c r="H20" s="26" t="s">
        <v>307</v>
      </c>
      <c r="I20" s="19"/>
      <c r="J20" s="17"/>
      <c r="K20" s="19"/>
      <c r="L20" s="18"/>
      <c r="M20" s="61"/>
      <c r="N20" s="63"/>
    </row>
    <row r="21" spans="1:15" ht="97.5" customHeight="1">
      <c r="A21" s="49" t="s">
        <v>308</v>
      </c>
      <c r="B21" s="29" t="s">
        <v>282</v>
      </c>
      <c r="C21" s="30">
        <v>3.8565</v>
      </c>
      <c r="D21" s="28">
        <v>20</v>
      </c>
      <c r="E21" s="29" t="s">
        <v>283</v>
      </c>
      <c r="F21" s="18" t="s">
        <v>309</v>
      </c>
      <c r="G21" s="18" t="s">
        <v>100</v>
      </c>
      <c r="H21" s="22" t="s">
        <v>310</v>
      </c>
      <c r="I21" s="19" t="s">
        <v>311</v>
      </c>
      <c r="J21" s="17"/>
      <c r="K21" s="19"/>
      <c r="L21" s="25" t="s">
        <v>93</v>
      </c>
      <c r="M21" s="61"/>
      <c r="N21" s="66" t="s">
        <v>292</v>
      </c>
      <c r="O21" s="69"/>
    </row>
    <row r="22" spans="1:15" ht="56.1">
      <c r="A22" s="46" t="s">
        <v>312</v>
      </c>
      <c r="B22" s="29" t="s">
        <v>282</v>
      </c>
      <c r="C22" s="30">
        <v>3.8565</v>
      </c>
      <c r="D22" s="28">
        <v>20</v>
      </c>
      <c r="E22" s="17" t="s">
        <v>313</v>
      </c>
      <c r="F22" s="18" t="s">
        <v>314</v>
      </c>
      <c r="G22" s="18" t="s">
        <v>213</v>
      </c>
      <c r="H22" s="22" t="s">
        <v>315</v>
      </c>
      <c r="I22" s="19" t="s">
        <v>316</v>
      </c>
      <c r="J22" s="17"/>
      <c r="K22" s="19"/>
      <c r="L22" s="25" t="s">
        <v>93</v>
      </c>
      <c r="M22" s="61"/>
      <c r="N22" s="63" t="s">
        <v>253</v>
      </c>
    </row>
    <row r="23" spans="1:15" ht="56.1">
      <c r="A23" s="46" t="s">
        <v>317</v>
      </c>
      <c r="B23" s="29" t="s">
        <v>282</v>
      </c>
      <c r="C23" s="30">
        <v>3.8565</v>
      </c>
      <c r="D23" s="28">
        <v>20</v>
      </c>
      <c r="E23" s="17" t="s">
        <v>313</v>
      </c>
      <c r="F23" s="18" t="s">
        <v>318</v>
      </c>
      <c r="G23" s="18" t="s">
        <v>210</v>
      </c>
      <c r="H23" s="22" t="s">
        <v>319</v>
      </c>
      <c r="I23" s="19" t="s">
        <v>116</v>
      </c>
      <c r="J23" s="17"/>
      <c r="K23" s="19"/>
      <c r="L23" s="25" t="s">
        <v>93</v>
      </c>
      <c r="M23" s="61"/>
      <c r="N23" s="63" t="s">
        <v>253</v>
      </c>
    </row>
    <row r="24" spans="1:15" ht="79.5" customHeight="1">
      <c r="A24" s="46" t="s">
        <v>320</v>
      </c>
      <c r="B24" s="29" t="s">
        <v>282</v>
      </c>
      <c r="C24" s="30">
        <v>3.8565</v>
      </c>
      <c r="D24" s="28">
        <v>20</v>
      </c>
      <c r="E24" s="17" t="s">
        <v>313</v>
      </c>
      <c r="F24" s="18" t="s">
        <v>321</v>
      </c>
      <c r="G24" s="18" t="s">
        <v>210</v>
      </c>
      <c r="H24" s="22" t="s">
        <v>322</v>
      </c>
      <c r="I24" s="19" t="s">
        <v>316</v>
      </c>
      <c r="J24" s="17"/>
      <c r="K24" s="19"/>
      <c r="L24" s="25" t="s">
        <v>93</v>
      </c>
      <c r="M24" s="58" t="s">
        <v>93</v>
      </c>
      <c r="N24" s="63" t="s">
        <v>253</v>
      </c>
    </row>
    <row r="25" spans="1:15" ht="71.25" customHeight="1">
      <c r="A25" s="46" t="s">
        <v>323</v>
      </c>
      <c r="B25" s="29" t="s">
        <v>282</v>
      </c>
      <c r="C25" s="30">
        <v>3.8565</v>
      </c>
      <c r="D25" s="28">
        <v>20</v>
      </c>
      <c r="E25" s="17" t="s">
        <v>313</v>
      </c>
      <c r="F25" s="18" t="s">
        <v>324</v>
      </c>
      <c r="G25" s="18" t="s">
        <v>100</v>
      </c>
      <c r="H25" s="22" t="s">
        <v>325</v>
      </c>
      <c r="I25" s="19" t="s">
        <v>316</v>
      </c>
      <c r="J25" s="17"/>
      <c r="K25" s="19"/>
      <c r="L25" s="25" t="s">
        <v>93</v>
      </c>
      <c r="M25" s="61"/>
      <c r="N25" s="68" t="s">
        <v>292</v>
      </c>
    </row>
    <row r="26" spans="1:15" ht="95.25" customHeight="1">
      <c r="A26" s="46" t="s">
        <v>326</v>
      </c>
      <c r="B26" s="29" t="s">
        <v>282</v>
      </c>
      <c r="C26" s="30">
        <v>3.8565</v>
      </c>
      <c r="D26" s="28">
        <v>20</v>
      </c>
      <c r="E26" s="17" t="s">
        <v>313</v>
      </c>
      <c r="F26" s="18" t="s">
        <v>327</v>
      </c>
      <c r="G26" s="18" t="s">
        <v>100</v>
      </c>
      <c r="H26" s="22" t="s">
        <v>328</v>
      </c>
      <c r="I26" s="19" t="s">
        <v>316</v>
      </c>
      <c r="J26" s="17"/>
      <c r="K26" s="19"/>
      <c r="L26" s="25" t="s">
        <v>93</v>
      </c>
      <c r="M26" s="58" t="s">
        <v>93</v>
      </c>
      <c r="N26" s="68" t="s">
        <v>292</v>
      </c>
      <c r="O26" s="63" t="s">
        <v>329</v>
      </c>
    </row>
    <row r="27" spans="1:15" ht="83.25" customHeight="1">
      <c r="A27" s="46" t="s">
        <v>330</v>
      </c>
      <c r="B27" s="29" t="s">
        <v>282</v>
      </c>
      <c r="C27" s="30">
        <v>3.8565</v>
      </c>
      <c r="D27" s="28">
        <v>20</v>
      </c>
      <c r="E27" s="17" t="s">
        <v>313</v>
      </c>
      <c r="F27" s="18" t="s">
        <v>331</v>
      </c>
      <c r="G27" s="18" t="s">
        <v>100</v>
      </c>
      <c r="H27" s="22" t="s">
        <v>332</v>
      </c>
      <c r="I27" s="19" t="s">
        <v>116</v>
      </c>
      <c r="J27" s="17"/>
      <c r="K27" s="19"/>
      <c r="L27" s="25" t="s">
        <v>93</v>
      </c>
      <c r="M27" s="61"/>
      <c r="N27" s="68" t="s">
        <v>292</v>
      </c>
      <c r="O27" s="67" t="s">
        <v>333</v>
      </c>
    </row>
    <row r="28" spans="1:15">
      <c r="A28" s="18"/>
      <c r="B28" s="20"/>
      <c r="C28" s="18"/>
      <c r="D28" s="18"/>
      <c r="E28" s="17"/>
      <c r="F28" s="18"/>
      <c r="G28" s="18"/>
      <c r="H28" s="22"/>
      <c r="I28" s="19"/>
      <c r="J28" s="18"/>
      <c r="K28" s="19"/>
      <c r="L28" s="18"/>
      <c r="M28" s="61"/>
      <c r="N28" s="62"/>
    </row>
    <row r="29" spans="1:15">
      <c r="A29" s="18"/>
      <c r="B29" s="20"/>
      <c r="C29" s="18"/>
      <c r="D29" s="18"/>
      <c r="E29" s="17"/>
      <c r="F29" s="18"/>
      <c r="G29" s="18"/>
      <c r="H29" s="22"/>
      <c r="I29" s="19"/>
      <c r="J29" s="18"/>
      <c r="K29" s="19"/>
      <c r="L29" s="18"/>
      <c r="M29" s="61"/>
      <c r="N29" s="62"/>
    </row>
    <row r="30" spans="1:15">
      <c r="A30" s="18"/>
      <c r="B30" s="20"/>
      <c r="C30" s="18"/>
      <c r="D30" s="18"/>
      <c r="E30" s="17"/>
      <c r="F30" s="18"/>
      <c r="G30" s="18"/>
      <c r="H30" s="22"/>
      <c r="I30" s="19"/>
      <c r="J30" s="18"/>
      <c r="K30" s="19"/>
      <c r="L30" s="18"/>
      <c r="M30" s="61"/>
      <c r="N30" s="62"/>
    </row>
    <row r="31" spans="1:15">
      <c r="A31" s="18"/>
      <c r="B31" s="20"/>
      <c r="C31" s="18"/>
      <c r="D31" s="18"/>
      <c r="E31" s="17"/>
      <c r="F31" s="18"/>
      <c r="G31" s="18"/>
      <c r="H31" s="22"/>
      <c r="I31" s="19"/>
      <c r="J31" s="18"/>
      <c r="K31" s="19"/>
      <c r="L31" s="18"/>
      <c r="M31" s="61"/>
      <c r="N31" s="62"/>
    </row>
    <row r="32" spans="1:15">
      <c r="A32" s="18"/>
      <c r="B32" s="20"/>
      <c r="C32" s="18"/>
      <c r="D32" s="18"/>
      <c r="E32" s="17"/>
      <c r="F32" s="18"/>
      <c r="G32" s="18"/>
      <c r="H32" s="22"/>
      <c r="I32" s="19"/>
      <c r="J32" s="18"/>
      <c r="K32" s="19"/>
      <c r="L32" s="18"/>
      <c r="M32" s="61"/>
      <c r="N32" s="62"/>
    </row>
    <row r="33" spans="1:14">
      <c r="A33" s="18"/>
      <c r="B33" s="20"/>
      <c r="C33" s="18"/>
      <c r="D33" s="18"/>
      <c r="E33" s="17"/>
      <c r="F33" s="18"/>
      <c r="G33" s="18"/>
      <c r="H33" s="22"/>
      <c r="I33" s="19"/>
      <c r="J33" s="18"/>
      <c r="K33" s="19"/>
      <c r="L33" s="18"/>
      <c r="M33" s="61"/>
      <c r="N33" s="62"/>
    </row>
    <row r="34" spans="1:14">
      <c r="A34" s="18"/>
      <c r="B34" s="20"/>
      <c r="C34" s="18"/>
      <c r="D34" s="18"/>
      <c r="E34" s="20"/>
      <c r="F34" s="18"/>
      <c r="G34" s="18"/>
      <c r="H34" s="22"/>
      <c r="I34" s="19"/>
      <c r="J34" s="18"/>
      <c r="K34" s="19"/>
      <c r="L34" s="18"/>
      <c r="M34" s="61"/>
      <c r="N34" s="62"/>
    </row>
    <row r="35" spans="1:14">
      <c r="A35" s="18"/>
      <c r="B35" s="20"/>
      <c r="C35" s="18"/>
      <c r="D35" s="18"/>
      <c r="E35" s="20"/>
      <c r="F35" s="18"/>
      <c r="G35" s="18"/>
      <c r="H35" s="22"/>
      <c r="I35" s="19"/>
      <c r="J35" s="18"/>
      <c r="K35" s="19"/>
      <c r="L35" s="18"/>
      <c r="M35" s="61"/>
      <c r="N35" s="62"/>
    </row>
    <row r="36" spans="1:14">
      <c r="A36" s="18"/>
      <c r="B36" s="20"/>
      <c r="C36" s="18"/>
      <c r="D36" s="18"/>
      <c r="E36" s="20"/>
      <c r="F36" s="18"/>
      <c r="G36" s="18"/>
      <c r="H36" s="22"/>
      <c r="I36" s="19"/>
      <c r="J36" s="18"/>
      <c r="K36" s="19"/>
      <c r="L36" s="18"/>
      <c r="M36" s="61"/>
      <c r="N36" s="62"/>
    </row>
    <row r="37" spans="1:14">
      <c r="A37" s="18"/>
      <c r="B37" s="20"/>
      <c r="C37" s="18"/>
      <c r="D37" s="18"/>
      <c r="E37" s="20"/>
      <c r="F37" s="18"/>
      <c r="G37" s="18"/>
      <c r="H37" s="22"/>
      <c r="I37" s="19"/>
      <c r="J37" s="18"/>
      <c r="K37" s="19"/>
      <c r="L37" s="18"/>
      <c r="M37" s="61"/>
      <c r="N37" s="62"/>
    </row>
    <row r="38" spans="1:14">
      <c r="A38" s="18"/>
      <c r="B38" s="20"/>
      <c r="C38" s="18"/>
      <c r="D38" s="18"/>
      <c r="E38" s="20"/>
      <c r="F38" s="18"/>
      <c r="G38" s="18"/>
      <c r="H38" s="22"/>
      <c r="I38" s="19"/>
      <c r="J38" s="18"/>
      <c r="K38" s="19"/>
      <c r="L38" s="18"/>
      <c r="M38" s="61"/>
      <c r="N38" s="62"/>
    </row>
    <row r="39" spans="1:14">
      <c r="A39" s="18"/>
      <c r="B39" s="20"/>
      <c r="C39" s="18"/>
      <c r="D39" s="18"/>
      <c r="E39" s="20"/>
      <c r="F39" s="18"/>
      <c r="G39" s="18"/>
      <c r="H39" s="22"/>
      <c r="I39" s="19"/>
      <c r="J39" s="18"/>
      <c r="K39" s="19"/>
      <c r="L39" s="18"/>
      <c r="M39" s="61"/>
      <c r="N39" s="62"/>
    </row>
    <row r="40" spans="1:14">
      <c r="A40" s="18"/>
      <c r="B40" s="20"/>
      <c r="C40" s="18"/>
      <c r="D40" s="18"/>
      <c r="E40" s="20"/>
      <c r="F40" s="18"/>
      <c r="G40" s="18"/>
      <c r="H40" s="22"/>
      <c r="I40" s="19"/>
      <c r="J40" s="18"/>
      <c r="K40" s="19"/>
      <c r="L40" s="18"/>
      <c r="M40" s="61"/>
      <c r="N40" s="62"/>
    </row>
    <row r="41" spans="1:14">
      <c r="A41" s="18"/>
      <c r="B41" s="20"/>
      <c r="C41" s="18"/>
      <c r="D41" s="18"/>
      <c r="E41" s="20"/>
      <c r="F41" s="18"/>
      <c r="G41" s="18"/>
      <c r="H41" s="22"/>
      <c r="I41" s="19"/>
      <c r="J41" s="18"/>
      <c r="K41" s="19"/>
      <c r="L41" s="18"/>
      <c r="M41" s="61"/>
      <c r="N41" s="62"/>
    </row>
    <row r="42" spans="1:14">
      <c r="A42" s="18"/>
      <c r="B42" s="20"/>
      <c r="C42" s="18"/>
      <c r="D42" s="18"/>
      <c r="E42" s="20"/>
      <c r="F42" s="18"/>
      <c r="G42" s="18"/>
      <c r="H42" s="22"/>
      <c r="I42" s="19"/>
      <c r="J42" s="18"/>
      <c r="K42" s="19"/>
      <c r="L42" s="18"/>
      <c r="M42" s="61"/>
      <c r="N42" s="62"/>
    </row>
  </sheetData>
  <autoFilter ref="A2:N27" xr:uid="{D4D60645-8DDF-41E5-9914-BC89E34E505A}"/>
  <mergeCells count="3">
    <mergeCell ref="I8:I9"/>
    <mergeCell ref="H8:H9"/>
    <mergeCell ref="A1:M1"/>
  </mergeCells>
  <phoneticPr fontId="7" type="noConversion"/>
  <dataValidations count="1">
    <dataValidation type="list" allowBlank="1" showInputMessage="1" showErrorMessage="1" sqref="G3:G27" xr:uid="{6974981D-FA38-4C2F-97A6-06CAAD45070D}">
      <formula1>#REF!</formula1>
    </dataValidation>
  </dataValidations>
  <hyperlinks>
    <hyperlink ref="A3" location="HCM_01!A1" display="HCM_01" xr:uid="{8B56BD81-7250-4514-8051-4B20D048E807}"/>
    <hyperlink ref="A4" location="HCM_02!A1" display="HCM_02" xr:uid="{6DC4F635-F615-44F1-BAAC-BAEFDF64AB15}"/>
    <hyperlink ref="A5" location="HCM_03!A1" display="HCM_03" xr:uid="{527FF774-4CFF-4B53-A22C-3A4B8B81266B}"/>
    <hyperlink ref="A6" location="HCM_04!A1" display="HCM_04" xr:uid="{5286DC69-F4E5-45A4-8405-940309584E8B}"/>
    <hyperlink ref="A7" location="HCM_05!A1" display="HCM_05" xr:uid="{7C4EEBB0-0ADC-4842-A0BF-9738D6B2D1DA}"/>
    <hyperlink ref="A8" location="HCM_06!A1" display="HCM_06" xr:uid="{171059B3-75BE-43AF-8E88-5FE799592FB0}"/>
    <hyperlink ref="A10" location="HCM_07!A1" display="HCM_07" xr:uid="{11184FA1-1A40-4C61-8039-0D7E12D6F72C}"/>
    <hyperlink ref="A11" location="HCM_08!A1" display="HCM_08" xr:uid="{E28BE5BF-C29A-4B92-B734-35DCD98DDD07}"/>
    <hyperlink ref="A12" location="HCM_09!A1" display="HCM_09" xr:uid="{9DB61238-C1EA-420C-A012-692633ADBBEE}"/>
    <hyperlink ref="A13" location="HCM_10!A1" display="HCM_10" xr:uid="{D0A810D7-B7DB-499A-B4D2-2479129C8A32}"/>
    <hyperlink ref="A21" location="HCM_11!A1" display="HCM_11" xr:uid="{06348E25-6236-4651-BC34-DD2106D8C6AE}"/>
    <hyperlink ref="A22" location="HCM_12!A1" display="HCM_12" xr:uid="{33E8162C-CD2B-4C89-984D-0AE572382AAD}"/>
    <hyperlink ref="A23" location="HCM_13!A1" display="HCM_13" xr:uid="{CF19EA34-6F3E-4E78-8CDA-DD752455A115}"/>
    <hyperlink ref="A24" location="HCM_14!A1" display="HCM_14" xr:uid="{2094EE31-27E7-49F1-9E8F-7B846EF864BC}"/>
    <hyperlink ref="A25" location="HCM_15!A1" display="HCM_15" xr:uid="{70840D59-BB62-49F7-B6D3-F0F553584E27}"/>
    <hyperlink ref="A26" location="HCM_16!A1" display="HCM_16" xr:uid="{E09CAFE5-804C-435B-8184-401908BC8763}"/>
    <hyperlink ref="A27" location="HCM_17!A1" display="HCM_17" xr:uid="{CB153727-298E-4839-9511-B1E2145B734C}"/>
  </hyperlinks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D39B8083748A4A97C211377CD8F761" ma:contentTypeVersion="16" ma:contentTypeDescription="Create a new document." ma:contentTypeScope="" ma:versionID="695840ba6f7f26c82a98d3c911530cc7">
  <xsd:schema xmlns:xsd="http://www.w3.org/2001/XMLSchema" xmlns:xs="http://www.w3.org/2001/XMLSchema" xmlns:p="http://schemas.microsoft.com/office/2006/metadata/properties" xmlns:ns2="d27c9e1c-cc46-4879-bfea-7a82582947c3" xmlns:ns3="26659529-f907-4b99-8d51-583f5872604f" targetNamespace="http://schemas.microsoft.com/office/2006/metadata/properties" ma:root="true" ma:fieldsID="008aa99013437def215572084ee09321" ns2:_="" ns3:_="">
    <xsd:import namespace="d27c9e1c-cc46-4879-bfea-7a82582947c3"/>
    <xsd:import namespace="26659529-f907-4b99-8d51-583f5872604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c9e1c-cc46-4879-bfea-7a82582947c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ee4ddeb-b07f-4ce5-b6a2-b8e18d5798e0}" ma:internalName="TaxCatchAll" ma:showField="CatchAllData" ma:web="d27c9e1c-cc46-4879-bfea-7a82582947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59529-f907-4b99-8d51-583f587260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96f4e7-1dd8-4a7a-aae0-3258ad8194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659529-f907-4b99-8d51-583f5872604f">
      <Terms xmlns="http://schemas.microsoft.com/office/infopath/2007/PartnerControls"/>
    </lcf76f155ced4ddcb4097134ff3c332f>
    <TaxCatchAll xmlns="d27c9e1c-cc46-4879-bfea-7a82582947c3" xsi:nil="true"/>
    <SharedWithUsers xmlns="d27c9e1c-cc46-4879-bfea-7a82582947c3">
      <UserInfo>
        <DisplayName/>
        <AccountId xsi:nil="true"/>
        <AccountType/>
      </UserInfo>
    </SharedWithUsers>
    <MediaLengthInSeconds xmlns="26659529-f907-4b99-8d51-583f5872604f" xsi:nil="true"/>
  </documentManagement>
</p:properties>
</file>

<file path=customXml/itemProps1.xml><?xml version="1.0" encoding="utf-8"?>
<ds:datastoreItem xmlns:ds="http://schemas.openxmlformats.org/officeDocument/2006/customXml" ds:itemID="{B3E4F40E-F112-42E0-B019-8CBA064FB61A}"/>
</file>

<file path=customXml/itemProps2.xml><?xml version="1.0" encoding="utf-8"?>
<ds:datastoreItem xmlns:ds="http://schemas.openxmlformats.org/officeDocument/2006/customXml" ds:itemID="{C9456EC6-6B7C-4915-BB4F-C5860B11995A}"/>
</file>

<file path=customXml/itemProps3.xml><?xml version="1.0" encoding="utf-8"?>
<ds:datastoreItem xmlns:ds="http://schemas.openxmlformats.org/officeDocument/2006/customXml" ds:itemID="{FEE75274-8864-4351-9D95-EEF15BB518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NARAPORN JULAPUN</dc:creator>
  <cp:keywords/>
  <dc:description/>
  <cp:lastModifiedBy>Arisa Pongkan</cp:lastModifiedBy>
  <cp:revision/>
  <dcterms:created xsi:type="dcterms:W3CDTF">2021-01-25T08:15:37Z</dcterms:created>
  <dcterms:modified xsi:type="dcterms:W3CDTF">2026-06-19T06:50:47Z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0x0101002BD39B8083748A4A97C211377CD8F761</vt:lpwstr>
  </property>
  <property fmtid="{D5CDD505-2E9C-101B-9397-08002B2CF9AE}" pid="3" name="MediaServiceImageTags">
    <vt:lpwstr/>
  </property>
  <property fmtid="{D5CDD505-2E9C-101B-9397-08002B2CF9AE}" pid="4" name="Order">
    <vt:r8>3329900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